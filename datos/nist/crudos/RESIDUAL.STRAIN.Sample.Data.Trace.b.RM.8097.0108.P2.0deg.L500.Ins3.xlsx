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theme/themeOverride2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45" windowWidth="8475" windowHeight="7935"/>
  </bookViews>
  <sheets>
    <sheet name="8-MUMPs95.RS.P2.0deg.500.third." sheetId="1" r:id="rId1"/>
    <sheet name="Sheet1" sheetId="2" r:id="rId2"/>
  </sheets>
  <calcPr calcId="145621"/>
</workbook>
</file>

<file path=xl/calcChain.xml><?xml version="1.0" encoding="utf-8"?>
<calcChain xmlns="http://schemas.openxmlformats.org/spreadsheetml/2006/main">
  <c r="F405" i="1" l="1"/>
  <c r="F406" i="1"/>
  <c r="F407" i="1"/>
  <c r="F408" i="1"/>
  <c r="F409" i="1"/>
  <c r="F410" i="1"/>
  <c r="F411" i="1"/>
  <c r="F412" i="1"/>
  <c r="F413" i="1"/>
  <c r="F414" i="1"/>
  <c r="F186" i="1"/>
  <c r="F188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D5" i="1"/>
  <c r="F417" i="1" l="1"/>
  <c r="F416" i="1"/>
  <c r="F41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7" i="1"/>
  <c r="N6" i="1" l="1"/>
  <c r="L6" i="1"/>
  <c r="M6" i="1" s="1"/>
  <c r="M5" i="1"/>
  <c r="N5" i="1" s="1"/>
  <c r="L4" i="1"/>
  <c r="M4" i="1" s="1"/>
  <c r="N4" i="1" s="1"/>
  <c r="N3" i="1"/>
  <c r="M3" i="1"/>
  <c r="M2" i="1"/>
  <c r="N2" i="1" s="1"/>
  <c r="M1" i="1"/>
  <c r="N1" i="1" l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E166" i="1" s="1"/>
  <c r="G166" i="1" s="1"/>
  <c r="B167" i="1"/>
  <c r="E167" i="1" s="1"/>
  <c r="G167" i="1" s="1"/>
  <c r="B168" i="1"/>
  <c r="E168" i="1" s="1"/>
  <c r="G168" i="1" s="1"/>
  <c r="B169" i="1"/>
  <c r="E169" i="1" s="1"/>
  <c r="G169" i="1" s="1"/>
  <c r="B170" i="1"/>
  <c r="E170" i="1" s="1"/>
  <c r="G170" i="1" s="1"/>
  <c r="B171" i="1"/>
  <c r="E171" i="1" s="1"/>
  <c r="G171" i="1" s="1"/>
  <c r="B172" i="1"/>
  <c r="E172" i="1" s="1"/>
  <c r="G172" i="1" s="1"/>
  <c r="B173" i="1"/>
  <c r="E173" i="1" s="1"/>
  <c r="G173" i="1" s="1"/>
  <c r="B174" i="1"/>
  <c r="E174" i="1" s="1"/>
  <c r="G174" i="1" s="1"/>
  <c r="B175" i="1"/>
  <c r="E175" i="1" s="1"/>
  <c r="G175" i="1" s="1"/>
  <c r="B176" i="1"/>
  <c r="E176" i="1" s="1"/>
  <c r="G176" i="1" s="1"/>
  <c r="B177" i="1"/>
  <c r="E177" i="1" s="1"/>
  <c r="G177" i="1" s="1"/>
  <c r="B178" i="1"/>
  <c r="E178" i="1" s="1"/>
  <c r="G178" i="1" s="1"/>
  <c r="B179" i="1"/>
  <c r="E179" i="1" s="1"/>
  <c r="G179" i="1" s="1"/>
  <c r="B180" i="1"/>
  <c r="E180" i="1" s="1"/>
  <c r="G180" i="1" s="1"/>
  <c r="B181" i="1"/>
  <c r="E181" i="1" s="1"/>
  <c r="G181" i="1" s="1"/>
  <c r="B182" i="1"/>
  <c r="E182" i="1" s="1"/>
  <c r="G182" i="1" s="1"/>
  <c r="B183" i="1"/>
  <c r="E183" i="1" s="1"/>
  <c r="G183" i="1" s="1"/>
  <c r="B184" i="1"/>
  <c r="E184" i="1" s="1"/>
  <c r="G184" i="1" s="1"/>
  <c r="B185" i="1"/>
  <c r="E185" i="1" s="1"/>
  <c r="G185" i="1" s="1"/>
  <c r="B186" i="1"/>
  <c r="E186" i="1" s="1"/>
  <c r="G186" i="1" s="1"/>
  <c r="B187" i="1"/>
  <c r="E187" i="1" s="1"/>
  <c r="G187" i="1" s="1"/>
  <c r="B188" i="1"/>
  <c r="E188" i="1" s="1"/>
  <c r="G188" i="1" s="1"/>
  <c r="B189" i="1"/>
  <c r="E189" i="1" s="1"/>
  <c r="G189" i="1" s="1"/>
  <c r="B190" i="1"/>
  <c r="E190" i="1" s="1"/>
  <c r="G190" i="1" s="1"/>
  <c r="B191" i="1"/>
  <c r="E191" i="1" s="1"/>
  <c r="G191" i="1" s="1"/>
  <c r="B192" i="1"/>
  <c r="E192" i="1" s="1"/>
  <c r="G192" i="1" s="1"/>
  <c r="B193" i="1"/>
  <c r="E193" i="1" s="1"/>
  <c r="G193" i="1" s="1"/>
  <c r="B194" i="1"/>
  <c r="E194" i="1" s="1"/>
  <c r="G194" i="1" s="1"/>
  <c r="B195" i="1"/>
  <c r="E195" i="1" s="1"/>
  <c r="G195" i="1" s="1"/>
  <c r="B196" i="1"/>
  <c r="E196" i="1" s="1"/>
  <c r="G196" i="1" s="1"/>
  <c r="B197" i="1"/>
  <c r="E197" i="1" s="1"/>
  <c r="G197" i="1" s="1"/>
  <c r="B198" i="1"/>
  <c r="E198" i="1" s="1"/>
  <c r="G198" i="1" s="1"/>
  <c r="B199" i="1"/>
  <c r="E199" i="1" s="1"/>
  <c r="G199" i="1" s="1"/>
  <c r="B200" i="1"/>
  <c r="E200" i="1" s="1"/>
  <c r="G200" i="1" s="1"/>
  <c r="B201" i="1"/>
  <c r="E201" i="1" s="1"/>
  <c r="G201" i="1" s="1"/>
  <c r="B202" i="1"/>
  <c r="E202" i="1" s="1"/>
  <c r="G202" i="1" s="1"/>
  <c r="B203" i="1"/>
  <c r="E203" i="1" s="1"/>
  <c r="G203" i="1" s="1"/>
  <c r="B204" i="1"/>
  <c r="E204" i="1" s="1"/>
  <c r="G204" i="1" s="1"/>
  <c r="B205" i="1"/>
  <c r="E205" i="1" s="1"/>
  <c r="G205" i="1" s="1"/>
  <c r="B206" i="1"/>
  <c r="E206" i="1" s="1"/>
  <c r="G206" i="1" s="1"/>
  <c r="B207" i="1"/>
  <c r="E207" i="1" s="1"/>
  <c r="G207" i="1" s="1"/>
  <c r="B208" i="1"/>
  <c r="E208" i="1" s="1"/>
  <c r="G208" i="1" s="1"/>
  <c r="B209" i="1"/>
  <c r="E209" i="1" s="1"/>
  <c r="G209" i="1" s="1"/>
  <c r="B210" i="1"/>
  <c r="E210" i="1" s="1"/>
  <c r="G210" i="1" s="1"/>
  <c r="B211" i="1"/>
  <c r="E211" i="1" s="1"/>
  <c r="G211" i="1" s="1"/>
  <c r="B212" i="1"/>
  <c r="E212" i="1" s="1"/>
  <c r="G212" i="1" s="1"/>
  <c r="B213" i="1"/>
  <c r="E213" i="1" s="1"/>
  <c r="G213" i="1" s="1"/>
  <c r="B214" i="1"/>
  <c r="E214" i="1" s="1"/>
  <c r="G214" i="1" s="1"/>
  <c r="B215" i="1"/>
  <c r="E215" i="1" s="1"/>
  <c r="G215" i="1" s="1"/>
  <c r="B216" i="1"/>
  <c r="E216" i="1" s="1"/>
  <c r="G216" i="1" s="1"/>
  <c r="B217" i="1"/>
  <c r="E217" i="1" s="1"/>
  <c r="G217" i="1" s="1"/>
  <c r="B218" i="1"/>
  <c r="E218" i="1" s="1"/>
  <c r="G218" i="1" s="1"/>
  <c r="B219" i="1"/>
  <c r="E219" i="1" s="1"/>
  <c r="G219" i="1" s="1"/>
  <c r="B220" i="1"/>
  <c r="E220" i="1" s="1"/>
  <c r="G220" i="1" s="1"/>
  <c r="B221" i="1"/>
  <c r="E221" i="1" s="1"/>
  <c r="G221" i="1" s="1"/>
  <c r="B222" i="1"/>
  <c r="E222" i="1" s="1"/>
  <c r="G222" i="1" s="1"/>
  <c r="B223" i="1"/>
  <c r="E223" i="1" s="1"/>
  <c r="G223" i="1" s="1"/>
  <c r="B224" i="1"/>
  <c r="E224" i="1" s="1"/>
  <c r="G224" i="1" s="1"/>
  <c r="B225" i="1"/>
  <c r="E225" i="1" s="1"/>
  <c r="G225" i="1" s="1"/>
  <c r="B226" i="1"/>
  <c r="E226" i="1" s="1"/>
  <c r="G226" i="1" s="1"/>
  <c r="B227" i="1"/>
  <c r="E227" i="1" s="1"/>
  <c r="G227" i="1" s="1"/>
  <c r="B228" i="1"/>
  <c r="E228" i="1" s="1"/>
  <c r="G228" i="1" s="1"/>
  <c r="B229" i="1"/>
  <c r="E229" i="1" s="1"/>
  <c r="G229" i="1" s="1"/>
  <c r="B230" i="1"/>
  <c r="E230" i="1" s="1"/>
  <c r="G230" i="1" s="1"/>
  <c r="B231" i="1"/>
  <c r="E231" i="1" s="1"/>
  <c r="G231" i="1" s="1"/>
  <c r="B232" i="1"/>
  <c r="E232" i="1" s="1"/>
  <c r="G232" i="1" s="1"/>
  <c r="B233" i="1"/>
  <c r="E233" i="1" s="1"/>
  <c r="G233" i="1" s="1"/>
  <c r="B234" i="1"/>
  <c r="E234" i="1" s="1"/>
  <c r="G234" i="1" s="1"/>
  <c r="B235" i="1"/>
  <c r="E235" i="1" s="1"/>
  <c r="G235" i="1" s="1"/>
  <c r="B236" i="1"/>
  <c r="E236" i="1" s="1"/>
  <c r="G236" i="1" s="1"/>
  <c r="B237" i="1"/>
  <c r="E237" i="1" s="1"/>
  <c r="G237" i="1" s="1"/>
  <c r="B238" i="1"/>
  <c r="E238" i="1" s="1"/>
  <c r="G238" i="1" s="1"/>
  <c r="B239" i="1"/>
  <c r="E239" i="1" s="1"/>
  <c r="G239" i="1" s="1"/>
  <c r="B240" i="1"/>
  <c r="E240" i="1" s="1"/>
  <c r="G240" i="1" s="1"/>
  <c r="B241" i="1"/>
  <c r="E241" i="1" s="1"/>
  <c r="G241" i="1" s="1"/>
  <c r="B242" i="1"/>
  <c r="E242" i="1" s="1"/>
  <c r="G242" i="1" s="1"/>
  <c r="B243" i="1"/>
  <c r="E243" i="1" s="1"/>
  <c r="G243" i="1" s="1"/>
  <c r="B244" i="1"/>
  <c r="E244" i="1" s="1"/>
  <c r="G244" i="1" s="1"/>
  <c r="B245" i="1"/>
  <c r="E245" i="1" s="1"/>
  <c r="G245" i="1" s="1"/>
  <c r="B246" i="1"/>
  <c r="E246" i="1" s="1"/>
  <c r="G246" i="1" s="1"/>
  <c r="B247" i="1"/>
  <c r="E247" i="1" s="1"/>
  <c r="G247" i="1" s="1"/>
  <c r="B248" i="1"/>
  <c r="E248" i="1" s="1"/>
  <c r="G248" i="1" s="1"/>
  <c r="B249" i="1"/>
  <c r="E249" i="1" s="1"/>
  <c r="G249" i="1" s="1"/>
  <c r="B250" i="1"/>
  <c r="E250" i="1" s="1"/>
  <c r="G250" i="1" s="1"/>
  <c r="B251" i="1"/>
  <c r="E251" i="1" s="1"/>
  <c r="G251" i="1" s="1"/>
  <c r="B252" i="1"/>
  <c r="E252" i="1" s="1"/>
  <c r="G252" i="1" s="1"/>
  <c r="B253" i="1"/>
  <c r="E253" i="1" s="1"/>
  <c r="G253" i="1" s="1"/>
  <c r="B254" i="1"/>
  <c r="E254" i="1" s="1"/>
  <c r="G254" i="1" s="1"/>
  <c r="B255" i="1"/>
  <c r="E255" i="1" s="1"/>
  <c r="G255" i="1" s="1"/>
  <c r="B256" i="1"/>
  <c r="E256" i="1" s="1"/>
  <c r="G256" i="1" s="1"/>
  <c r="B257" i="1"/>
  <c r="E257" i="1" s="1"/>
  <c r="G257" i="1" s="1"/>
  <c r="B258" i="1"/>
  <c r="E258" i="1" s="1"/>
  <c r="G258" i="1" s="1"/>
  <c r="B259" i="1"/>
  <c r="E259" i="1" s="1"/>
  <c r="G259" i="1" s="1"/>
  <c r="B260" i="1"/>
  <c r="E260" i="1" s="1"/>
  <c r="G260" i="1" s="1"/>
  <c r="B261" i="1"/>
  <c r="E261" i="1" s="1"/>
  <c r="G261" i="1" s="1"/>
  <c r="B262" i="1"/>
  <c r="E262" i="1" s="1"/>
  <c r="G262" i="1" s="1"/>
  <c r="B263" i="1"/>
  <c r="E263" i="1" s="1"/>
  <c r="G263" i="1" s="1"/>
  <c r="B264" i="1"/>
  <c r="E264" i="1" s="1"/>
  <c r="G264" i="1" s="1"/>
  <c r="B265" i="1"/>
  <c r="E265" i="1" s="1"/>
  <c r="G265" i="1" s="1"/>
  <c r="B266" i="1"/>
  <c r="E266" i="1" s="1"/>
  <c r="G266" i="1" s="1"/>
  <c r="B267" i="1"/>
  <c r="E267" i="1" s="1"/>
  <c r="G267" i="1" s="1"/>
  <c r="B268" i="1"/>
  <c r="E268" i="1" s="1"/>
  <c r="G268" i="1" s="1"/>
  <c r="B269" i="1"/>
  <c r="E269" i="1" s="1"/>
  <c r="G269" i="1" s="1"/>
  <c r="B270" i="1"/>
  <c r="E270" i="1" s="1"/>
  <c r="G270" i="1" s="1"/>
  <c r="B271" i="1"/>
  <c r="E271" i="1" s="1"/>
  <c r="G271" i="1" s="1"/>
  <c r="B272" i="1"/>
  <c r="E272" i="1" s="1"/>
  <c r="G272" i="1" s="1"/>
  <c r="B273" i="1"/>
  <c r="E273" i="1" s="1"/>
  <c r="G273" i="1" s="1"/>
  <c r="B274" i="1"/>
  <c r="E274" i="1" s="1"/>
  <c r="G274" i="1" s="1"/>
  <c r="B275" i="1"/>
  <c r="E275" i="1" s="1"/>
  <c r="G275" i="1" s="1"/>
  <c r="B276" i="1"/>
  <c r="E276" i="1" s="1"/>
  <c r="G276" i="1" s="1"/>
  <c r="B277" i="1"/>
  <c r="E277" i="1" s="1"/>
  <c r="G277" i="1" s="1"/>
  <c r="B278" i="1"/>
  <c r="E278" i="1" s="1"/>
  <c r="G278" i="1" s="1"/>
  <c r="B279" i="1"/>
  <c r="E279" i="1" s="1"/>
  <c r="G279" i="1" s="1"/>
  <c r="B280" i="1"/>
  <c r="E280" i="1" s="1"/>
  <c r="G280" i="1" s="1"/>
  <c r="B281" i="1"/>
  <c r="E281" i="1" s="1"/>
  <c r="G281" i="1" s="1"/>
  <c r="B282" i="1"/>
  <c r="E282" i="1" s="1"/>
  <c r="G282" i="1" s="1"/>
  <c r="B283" i="1"/>
  <c r="E283" i="1" s="1"/>
  <c r="G283" i="1" s="1"/>
  <c r="B284" i="1"/>
  <c r="E284" i="1" s="1"/>
  <c r="G284" i="1" s="1"/>
  <c r="B285" i="1"/>
  <c r="E285" i="1" s="1"/>
  <c r="G285" i="1" s="1"/>
  <c r="B286" i="1"/>
  <c r="E286" i="1" s="1"/>
  <c r="G286" i="1" s="1"/>
  <c r="B287" i="1"/>
  <c r="E287" i="1" s="1"/>
  <c r="G287" i="1" s="1"/>
  <c r="B288" i="1"/>
  <c r="E288" i="1" s="1"/>
  <c r="G288" i="1" s="1"/>
  <c r="B289" i="1"/>
  <c r="E289" i="1" s="1"/>
  <c r="G289" i="1" s="1"/>
  <c r="B290" i="1"/>
  <c r="E290" i="1" s="1"/>
  <c r="G290" i="1" s="1"/>
  <c r="B291" i="1"/>
  <c r="E291" i="1" s="1"/>
  <c r="G291" i="1" s="1"/>
  <c r="B292" i="1"/>
  <c r="E292" i="1" s="1"/>
  <c r="G292" i="1" s="1"/>
  <c r="B293" i="1"/>
  <c r="E293" i="1" s="1"/>
  <c r="G293" i="1" s="1"/>
  <c r="B294" i="1"/>
  <c r="E294" i="1" s="1"/>
  <c r="H294" i="1" s="1"/>
  <c r="B295" i="1"/>
  <c r="E295" i="1" s="1"/>
  <c r="H295" i="1" s="1"/>
  <c r="B296" i="1"/>
  <c r="E296" i="1" s="1"/>
  <c r="H296" i="1" s="1"/>
  <c r="B297" i="1"/>
  <c r="E297" i="1" s="1"/>
  <c r="H297" i="1" s="1"/>
  <c r="B298" i="1"/>
  <c r="E298" i="1" s="1"/>
  <c r="H298" i="1" s="1"/>
  <c r="B299" i="1"/>
  <c r="E299" i="1" s="1"/>
  <c r="H299" i="1" s="1"/>
  <c r="B300" i="1"/>
  <c r="E300" i="1" s="1"/>
  <c r="H300" i="1" s="1"/>
  <c r="B301" i="1"/>
  <c r="E301" i="1" s="1"/>
  <c r="H301" i="1" s="1"/>
  <c r="B302" i="1"/>
  <c r="E302" i="1" s="1"/>
  <c r="H302" i="1" s="1"/>
  <c r="B303" i="1"/>
  <c r="E303" i="1" s="1"/>
  <c r="H303" i="1" s="1"/>
  <c r="B304" i="1"/>
  <c r="E304" i="1" s="1"/>
  <c r="H304" i="1" s="1"/>
  <c r="B305" i="1"/>
  <c r="E305" i="1" s="1"/>
  <c r="H305" i="1" s="1"/>
  <c r="B306" i="1"/>
  <c r="E306" i="1" s="1"/>
  <c r="H306" i="1" s="1"/>
  <c r="B307" i="1"/>
  <c r="E307" i="1" s="1"/>
  <c r="H307" i="1" s="1"/>
  <c r="B308" i="1"/>
  <c r="E308" i="1" s="1"/>
  <c r="H308" i="1" s="1"/>
  <c r="B309" i="1"/>
  <c r="E309" i="1" s="1"/>
  <c r="H309" i="1" s="1"/>
  <c r="B310" i="1"/>
  <c r="E310" i="1" s="1"/>
  <c r="H310" i="1" s="1"/>
  <c r="B311" i="1"/>
  <c r="E311" i="1" s="1"/>
  <c r="H311" i="1" s="1"/>
  <c r="B312" i="1"/>
  <c r="E312" i="1" s="1"/>
  <c r="H312" i="1" s="1"/>
  <c r="B313" i="1"/>
  <c r="E313" i="1" s="1"/>
  <c r="H313" i="1" s="1"/>
  <c r="B314" i="1"/>
  <c r="E314" i="1" s="1"/>
  <c r="H314" i="1" s="1"/>
  <c r="B315" i="1"/>
  <c r="E315" i="1" s="1"/>
  <c r="H315" i="1" s="1"/>
  <c r="B316" i="1"/>
  <c r="E316" i="1" s="1"/>
  <c r="H316" i="1" s="1"/>
  <c r="B317" i="1"/>
  <c r="E317" i="1" s="1"/>
  <c r="H317" i="1" s="1"/>
  <c r="B318" i="1"/>
  <c r="E318" i="1" s="1"/>
  <c r="H318" i="1" s="1"/>
  <c r="B319" i="1"/>
  <c r="E319" i="1" s="1"/>
  <c r="H319" i="1" s="1"/>
  <c r="B320" i="1"/>
  <c r="E320" i="1" s="1"/>
  <c r="H320" i="1" s="1"/>
  <c r="B321" i="1"/>
  <c r="E321" i="1" s="1"/>
  <c r="H321" i="1" s="1"/>
  <c r="B322" i="1"/>
  <c r="E322" i="1" s="1"/>
  <c r="H322" i="1" s="1"/>
  <c r="B323" i="1"/>
  <c r="E323" i="1" s="1"/>
  <c r="H323" i="1" s="1"/>
  <c r="B324" i="1"/>
  <c r="E324" i="1" s="1"/>
  <c r="H324" i="1" s="1"/>
  <c r="B325" i="1"/>
  <c r="E325" i="1" s="1"/>
  <c r="H325" i="1" s="1"/>
  <c r="B326" i="1"/>
  <c r="E326" i="1" s="1"/>
  <c r="H326" i="1" s="1"/>
  <c r="B327" i="1"/>
  <c r="E327" i="1" s="1"/>
  <c r="H327" i="1" s="1"/>
  <c r="B328" i="1"/>
  <c r="E328" i="1" s="1"/>
  <c r="H328" i="1" s="1"/>
  <c r="B329" i="1"/>
  <c r="E329" i="1" s="1"/>
  <c r="H329" i="1" s="1"/>
  <c r="B330" i="1"/>
  <c r="E330" i="1" s="1"/>
  <c r="H330" i="1" s="1"/>
  <c r="B331" i="1"/>
  <c r="E331" i="1" s="1"/>
  <c r="H331" i="1" s="1"/>
  <c r="B332" i="1"/>
  <c r="E332" i="1" s="1"/>
  <c r="H332" i="1" s="1"/>
  <c r="B333" i="1"/>
  <c r="E333" i="1" s="1"/>
  <c r="H333" i="1" s="1"/>
  <c r="B334" i="1"/>
  <c r="E334" i="1" s="1"/>
  <c r="H334" i="1" s="1"/>
  <c r="B335" i="1"/>
  <c r="E335" i="1" s="1"/>
  <c r="H335" i="1" s="1"/>
  <c r="B336" i="1"/>
  <c r="E336" i="1" s="1"/>
  <c r="H336" i="1" s="1"/>
  <c r="B337" i="1"/>
  <c r="E337" i="1" s="1"/>
  <c r="H337" i="1" s="1"/>
  <c r="B338" i="1"/>
  <c r="E338" i="1" s="1"/>
  <c r="H338" i="1" s="1"/>
  <c r="B339" i="1"/>
  <c r="E339" i="1" s="1"/>
  <c r="H339" i="1" s="1"/>
  <c r="B340" i="1"/>
  <c r="E340" i="1" s="1"/>
  <c r="H340" i="1" s="1"/>
  <c r="B341" i="1"/>
  <c r="E341" i="1" s="1"/>
  <c r="H341" i="1" s="1"/>
  <c r="B342" i="1"/>
  <c r="E342" i="1" s="1"/>
  <c r="H342" i="1" s="1"/>
  <c r="B343" i="1"/>
  <c r="E343" i="1" s="1"/>
  <c r="H343" i="1" s="1"/>
  <c r="B344" i="1"/>
  <c r="E344" i="1" s="1"/>
  <c r="H344" i="1" s="1"/>
  <c r="B345" i="1"/>
  <c r="E345" i="1" s="1"/>
  <c r="H345" i="1" s="1"/>
  <c r="B346" i="1"/>
  <c r="E346" i="1" s="1"/>
  <c r="H346" i="1" s="1"/>
  <c r="B347" i="1"/>
  <c r="E347" i="1" s="1"/>
  <c r="H347" i="1" s="1"/>
  <c r="B348" i="1"/>
  <c r="E348" i="1" s="1"/>
  <c r="H348" i="1" s="1"/>
  <c r="B349" i="1"/>
  <c r="E349" i="1" s="1"/>
  <c r="H349" i="1" s="1"/>
  <c r="B350" i="1"/>
  <c r="E350" i="1" s="1"/>
  <c r="H350" i="1" s="1"/>
  <c r="B351" i="1"/>
  <c r="E351" i="1" s="1"/>
  <c r="H351" i="1" s="1"/>
  <c r="B352" i="1"/>
  <c r="E352" i="1" s="1"/>
  <c r="H352" i="1" s="1"/>
  <c r="B353" i="1"/>
  <c r="E353" i="1" s="1"/>
  <c r="H353" i="1" s="1"/>
  <c r="B354" i="1"/>
  <c r="E354" i="1" s="1"/>
  <c r="H354" i="1" s="1"/>
  <c r="B355" i="1"/>
  <c r="E355" i="1" s="1"/>
  <c r="H355" i="1" s="1"/>
  <c r="B356" i="1"/>
  <c r="E356" i="1" s="1"/>
  <c r="H356" i="1" s="1"/>
  <c r="B357" i="1"/>
  <c r="E357" i="1" s="1"/>
  <c r="H357" i="1" s="1"/>
  <c r="B358" i="1"/>
  <c r="E358" i="1" s="1"/>
  <c r="H358" i="1" s="1"/>
  <c r="B359" i="1"/>
  <c r="E359" i="1" s="1"/>
  <c r="H359" i="1" s="1"/>
  <c r="B360" i="1"/>
  <c r="E360" i="1" s="1"/>
  <c r="H360" i="1" s="1"/>
  <c r="B361" i="1"/>
  <c r="E361" i="1" s="1"/>
  <c r="H361" i="1" s="1"/>
  <c r="B362" i="1"/>
  <c r="E362" i="1" s="1"/>
  <c r="H362" i="1" s="1"/>
  <c r="B363" i="1"/>
  <c r="E363" i="1" s="1"/>
  <c r="H363" i="1" s="1"/>
  <c r="B364" i="1"/>
  <c r="E364" i="1" s="1"/>
  <c r="H364" i="1" s="1"/>
  <c r="B365" i="1"/>
  <c r="E365" i="1" s="1"/>
  <c r="H365" i="1" s="1"/>
  <c r="B366" i="1"/>
  <c r="E366" i="1" s="1"/>
  <c r="H366" i="1" s="1"/>
  <c r="B367" i="1"/>
  <c r="E367" i="1" s="1"/>
  <c r="H367" i="1" s="1"/>
  <c r="B368" i="1"/>
  <c r="E368" i="1" s="1"/>
  <c r="H368" i="1" s="1"/>
  <c r="B369" i="1"/>
  <c r="E369" i="1" s="1"/>
  <c r="H369" i="1" s="1"/>
  <c r="B370" i="1"/>
  <c r="E370" i="1" s="1"/>
  <c r="H370" i="1" s="1"/>
  <c r="B371" i="1"/>
  <c r="E371" i="1" s="1"/>
  <c r="H371" i="1" s="1"/>
  <c r="B372" i="1"/>
  <c r="E372" i="1" s="1"/>
  <c r="H372" i="1" s="1"/>
  <c r="B373" i="1"/>
  <c r="E373" i="1" s="1"/>
  <c r="H373" i="1" s="1"/>
  <c r="B374" i="1"/>
  <c r="E374" i="1" s="1"/>
  <c r="H374" i="1" s="1"/>
  <c r="B375" i="1"/>
  <c r="E375" i="1" s="1"/>
  <c r="H375" i="1" s="1"/>
  <c r="B376" i="1"/>
  <c r="E376" i="1" s="1"/>
  <c r="H376" i="1" s="1"/>
  <c r="B377" i="1"/>
  <c r="E377" i="1" s="1"/>
  <c r="H377" i="1" s="1"/>
  <c r="B378" i="1"/>
  <c r="E378" i="1" s="1"/>
  <c r="H378" i="1" s="1"/>
  <c r="B379" i="1"/>
  <c r="E379" i="1" s="1"/>
  <c r="H379" i="1" s="1"/>
  <c r="B380" i="1"/>
  <c r="E380" i="1" s="1"/>
  <c r="H380" i="1" s="1"/>
  <c r="B381" i="1"/>
  <c r="E381" i="1" s="1"/>
  <c r="H381" i="1" s="1"/>
  <c r="B382" i="1"/>
  <c r="E382" i="1" s="1"/>
  <c r="H382" i="1" s="1"/>
  <c r="B383" i="1"/>
  <c r="E383" i="1" s="1"/>
  <c r="H383" i="1" s="1"/>
  <c r="B384" i="1"/>
  <c r="E384" i="1" s="1"/>
  <c r="H384" i="1" s="1"/>
  <c r="B385" i="1"/>
  <c r="E385" i="1" s="1"/>
  <c r="H385" i="1" s="1"/>
  <c r="B386" i="1"/>
  <c r="E386" i="1" s="1"/>
  <c r="H386" i="1" s="1"/>
  <c r="B387" i="1"/>
  <c r="E387" i="1" s="1"/>
  <c r="H387" i="1" s="1"/>
  <c r="B388" i="1"/>
  <c r="E388" i="1" s="1"/>
  <c r="H388" i="1" s="1"/>
  <c r="B389" i="1"/>
  <c r="E389" i="1" s="1"/>
  <c r="H389" i="1" s="1"/>
  <c r="B390" i="1"/>
  <c r="E390" i="1" s="1"/>
  <c r="H390" i="1" s="1"/>
  <c r="B391" i="1"/>
  <c r="E391" i="1" s="1"/>
  <c r="H391" i="1" s="1"/>
  <c r="B392" i="1"/>
  <c r="E392" i="1" s="1"/>
  <c r="H392" i="1" s="1"/>
  <c r="B393" i="1"/>
  <c r="E393" i="1" s="1"/>
  <c r="H393" i="1" s="1"/>
  <c r="B394" i="1"/>
  <c r="E394" i="1" s="1"/>
  <c r="H394" i="1" s="1"/>
  <c r="B395" i="1"/>
  <c r="E395" i="1" s="1"/>
  <c r="H395" i="1" s="1"/>
  <c r="B396" i="1"/>
  <c r="E396" i="1" s="1"/>
  <c r="H396" i="1" s="1"/>
  <c r="B397" i="1"/>
  <c r="E397" i="1" s="1"/>
  <c r="H397" i="1" s="1"/>
  <c r="B398" i="1"/>
  <c r="E398" i="1" s="1"/>
  <c r="H398" i="1" s="1"/>
  <c r="B399" i="1"/>
  <c r="E399" i="1" s="1"/>
  <c r="H399" i="1" s="1"/>
  <c r="B400" i="1"/>
  <c r="E400" i="1" s="1"/>
  <c r="H400" i="1" s="1"/>
  <c r="B401" i="1"/>
  <c r="E401" i="1" s="1"/>
  <c r="H401" i="1" s="1"/>
  <c r="B402" i="1"/>
  <c r="E402" i="1" s="1"/>
  <c r="H402" i="1" s="1"/>
  <c r="B403" i="1"/>
  <c r="E403" i="1" s="1"/>
  <c r="H403" i="1" s="1"/>
  <c r="B404" i="1"/>
  <c r="E404" i="1" s="1"/>
  <c r="H404" i="1" s="1"/>
  <c r="B405" i="1"/>
  <c r="E405" i="1" s="1"/>
  <c r="H405" i="1" s="1"/>
  <c r="B406" i="1"/>
  <c r="E406" i="1" s="1"/>
  <c r="H406" i="1" s="1"/>
  <c r="B407" i="1"/>
  <c r="E407" i="1" s="1"/>
  <c r="H407" i="1" s="1"/>
  <c r="B408" i="1"/>
  <c r="E408" i="1" s="1"/>
  <c r="H408" i="1" s="1"/>
  <c r="B409" i="1"/>
  <c r="E409" i="1" s="1"/>
  <c r="H409" i="1" s="1"/>
  <c r="B410" i="1"/>
  <c r="E410" i="1" s="1"/>
  <c r="H410" i="1" s="1"/>
  <c r="B411" i="1"/>
  <c r="E411" i="1" s="1"/>
  <c r="H411" i="1" s="1"/>
  <c r="B412" i="1"/>
  <c r="E412" i="1" s="1"/>
  <c r="H412" i="1" s="1"/>
  <c r="B413" i="1"/>
  <c r="E413" i="1" s="1"/>
  <c r="H413" i="1" s="1"/>
  <c r="B414" i="1"/>
  <c r="E414" i="1" s="1"/>
  <c r="H414" i="1" s="1"/>
  <c r="B415" i="1"/>
  <c r="E415" i="1" s="1"/>
  <c r="H415" i="1" s="1"/>
  <c r="B416" i="1"/>
  <c r="E416" i="1" s="1"/>
  <c r="H416" i="1" s="1"/>
  <c r="B417" i="1"/>
  <c r="E417" i="1" s="1"/>
  <c r="H417" i="1" s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4" i="1"/>
  <c r="G294" i="1" l="1"/>
</calcChain>
</file>

<file path=xl/sharedStrings.xml><?xml version="1.0" encoding="utf-8"?>
<sst xmlns="http://schemas.openxmlformats.org/spreadsheetml/2006/main" count="81" uniqueCount="74">
  <si>
    <t xml:space="preserve"> </t>
  </si>
  <si>
    <t>mm</t>
  </si>
  <si>
    <t xml:space="preserve"> um</t>
  </si>
  <si>
    <t>um</t>
  </si>
  <si>
    <t>AF</t>
  </si>
  <si>
    <t>x1F</t>
  </si>
  <si>
    <t>w1F</t>
  </si>
  <si>
    <t>x3F</t>
  </si>
  <si>
    <t>z3F</t>
  </si>
  <si>
    <t>AS</t>
  </si>
  <si>
    <t>x1S</t>
  </si>
  <si>
    <t>w3S</t>
  </si>
  <si>
    <t>x3S</t>
  </si>
  <si>
    <t>s</t>
  </si>
  <si>
    <t>z1S</t>
  </si>
  <si>
    <t>making sure the pertinent equations translate</t>
  </si>
  <si>
    <t>reflect the point chosen such that the two cosine curves merge at that point.</t>
  </si>
  <si>
    <t>Press the "Calculate and Verify" button in the data sheet and enter the resulting values for</t>
  </si>
  <si>
    <t>z (uncal)</t>
  </si>
  <si>
    <t>x (uncal)</t>
  </si>
  <si>
    <t>v-axis data</t>
  </si>
  <si>
    <t>zmodel1</t>
  </si>
  <si>
    <t>zmodel2</t>
  </si>
  <si>
    <t>calx =</t>
  </si>
  <si>
    <t>calz =</t>
  </si>
  <si>
    <t>f =</t>
  </si>
  <si>
    <r>
      <rPr>
        <sz val="9"/>
        <color theme="1"/>
        <rFont val="Calibri"/>
        <family val="2"/>
      </rPr>
      <t xml:space="preserve">α </t>
    </r>
    <r>
      <rPr>
        <sz val="9"/>
        <color theme="1"/>
        <rFont val="Calibri"/>
        <family val="2"/>
        <scheme val="minor"/>
      </rPr>
      <t>(radians)=</t>
    </r>
  </si>
  <si>
    <t>min =</t>
  </si>
  <si>
    <t>can use this to locate</t>
  </si>
  <si>
    <t>the min deflection</t>
  </si>
  <si>
    <t>point for downward</t>
  </si>
  <si>
    <t>bending beams</t>
  </si>
  <si>
    <t>input the values in</t>
  </si>
  <si>
    <t>sheet after Traces</t>
  </si>
  <si>
    <t>a', a, e, and e' are</t>
  </si>
  <si>
    <t>analyzed</t>
  </si>
  <si>
    <t>pink from the data</t>
  </si>
  <si>
    <t>STEP 10:</t>
  </si>
  <si>
    <t>yellow as obtained</t>
  </si>
  <si>
    <t>from the data sheet</t>
  </si>
  <si>
    <t>blue (not orange) as</t>
  </si>
  <si>
    <t>chosen from your Excel file</t>
  </si>
  <si>
    <t>STEP 11:</t>
  </si>
  <si>
    <t>Plot the data from Columns B and C in your Excel file</t>
  </si>
  <si>
    <t>If there are pertinent "wait" statements at the bottom of your data sheet OR</t>
  </si>
  <si>
    <t>as apropriate, recalculate, and replot.  Some data traces may take</t>
  </si>
  <si>
    <t>RM 8097 - RESIDUAL STRAIN (Trace b, c, or d)</t>
  </si>
  <si>
    <t>Suggested steps to follow to obtain data for residual strain from Trace b, c, or d:</t>
  </si>
  <si>
    <t>Start with uncalibrated x data (in mm) in Column A and uncalibrated z data (in um) in Column B</t>
  </si>
  <si>
    <t xml:space="preserve">Copy the header cells (Cells D1 to N10) in this file into the same Excel location in your file  </t>
  </si>
  <si>
    <t>Copy the cells from this file (Cells E166 to H417) into the same Excel location in your file</t>
  </si>
  <si>
    <t>Plot the data from Cells E166 to H417</t>
  </si>
  <si>
    <t>Enter the data from Traces a', a, e, and e' (as obtained from other Excel files) into Data Sheet RS.3 and</t>
  </si>
  <si>
    <t>In your Excel file, copy and paste Column C into Column D</t>
  </si>
  <si>
    <t>In your Excel file, insert a new Column B as data from Column A but in micrometers</t>
  </si>
  <si>
    <t>making sure any equations translate</t>
  </si>
  <si>
    <t>appropriate pink highlighted cells in the header of your Excel file.</t>
  </si>
  <si>
    <t>The plot may need to include more or less data at both ends of the plot so make any necessary adjustments.</t>
  </si>
  <si>
    <t>The minimum point along the curve (whose z value is highlighted above in purple) can be used to locate that point</t>
  </si>
  <si>
    <t>if you have a downward bending beam.  (This does not need to be one of the selected points.)</t>
  </si>
  <si>
    <t>However, whichever point is chosen, the data in Columns G and H need to be adjused to</t>
  </si>
  <si>
    <t>AF, w1F, AS, w3S, and s into the yellow highlighted areas in the header of your Excel file</t>
  </si>
  <si>
    <r>
      <t xml:space="preserve">the plot does not </t>
    </r>
    <r>
      <rPr>
        <u/>
        <sz val="11"/>
        <color theme="1"/>
        <rFont val="Calibri"/>
        <family val="2"/>
        <scheme val="minor"/>
      </rPr>
      <t>closely</t>
    </r>
    <r>
      <rPr>
        <sz val="11"/>
        <color theme="1"/>
        <rFont val="Calibri"/>
        <family val="2"/>
        <scheme val="minor"/>
      </rPr>
      <t xml:space="preserve"> follow the data, modify one or more of the 5 chosen data points,</t>
    </r>
  </si>
  <si>
    <r>
      <t xml:space="preserve">If there are no pertinent "wait" statements at the bottom of your data sheet AND your Excel plot </t>
    </r>
    <r>
      <rPr>
        <u/>
        <sz val="11"/>
        <color theme="1"/>
        <rFont val="Calibri"/>
        <family val="2"/>
        <scheme val="minor"/>
      </rPr>
      <t>closely</t>
    </r>
    <r>
      <rPr>
        <sz val="11"/>
        <color theme="1"/>
        <rFont val="Calibri"/>
        <family val="2"/>
        <scheme val="minor"/>
      </rPr>
      <t xml:space="preserve"> </t>
    </r>
  </si>
  <si>
    <t>follows the data, the next data trace in a different Excel file can be analyzed, if appropriate</t>
  </si>
  <si>
    <t xml:space="preserve">the data sheet that includes the data from Traces a', a, e, and e'.  </t>
  </si>
  <si>
    <t xml:space="preserve">Select 5 data points along the beam as specified in the standard, highlight them, and enter them into </t>
  </si>
  <si>
    <t>longer than others to obtain acceptable inputs.</t>
  </si>
  <si>
    <t>correspond to those values selected.  For the most deflected point, see the next step.</t>
  </si>
  <si>
    <t xml:space="preserve">Also modify the values in blue (for x1F, x3F, z3F, and x3S) in the header of your Excel file to </t>
  </si>
  <si>
    <t>press the "Calculate and Verify" button.  Enter the pertinent values from the data sheet into the</t>
  </si>
  <si>
    <t>z data (cal)</t>
  </si>
  <si>
    <t>STEP 12:</t>
  </si>
  <si>
    <t>STEP 5: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</si>
</sst>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</font>
    <font>
      <b/>
      <sz val="11"/>
      <color rgb="FFFF000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4">
    <xf numFmtId="0" fontId="0" fillId="0" borderId="0" xfId="0"/>
    <xf numFmtId="0" fontId="0" fillId="0" borderId="0" xfId="0" applyAlignment="1">
      <alignment horizontal="center"/>
    </xf>
    <xf numFmtId="0" fontId="0" fillId="33" borderId="0" xfId="0" applyFill="1"/>
    <xf numFmtId="0" fontId="0" fillId="0" borderId="0" xfId="0" applyAlignment="1">
      <alignment horizontal="right"/>
    </xf>
    <xf numFmtId="0" fontId="0" fillId="0" borderId="0" xfId="0" applyFill="1"/>
    <xf numFmtId="0" fontId="0" fillId="34" borderId="0" xfId="0" applyFill="1"/>
    <xf numFmtId="0" fontId="0" fillId="35" borderId="0" xfId="0" applyFill="1"/>
    <xf numFmtId="0" fontId="16" fillId="0" borderId="0" xfId="0" applyFont="1"/>
    <xf numFmtId="0" fontId="18" fillId="37" borderId="0" xfId="0" applyFont="1" applyFill="1" applyAlignment="1">
      <alignment horizontal="center"/>
    </xf>
    <xf numFmtId="0" fontId="0" fillId="38" borderId="10" xfId="0" applyFill="1" applyBorder="1"/>
    <xf numFmtId="0" fontId="0" fillId="38" borderId="11" xfId="0" applyFill="1" applyBorder="1"/>
    <xf numFmtId="0" fontId="0" fillId="33" borderId="11" xfId="0" applyFill="1" applyBorder="1" applyAlignment="1">
      <alignment horizontal="center"/>
    </xf>
    <xf numFmtId="0" fontId="0" fillId="33" borderId="14" xfId="0" applyFill="1" applyBorder="1"/>
    <xf numFmtId="0" fontId="0" fillId="33" borderId="16" xfId="0" applyFill="1" applyBorder="1"/>
    <xf numFmtId="0" fontId="0" fillId="36" borderId="11" xfId="0" applyFill="1" applyBorder="1" applyAlignment="1">
      <alignment horizontal="center"/>
    </xf>
    <xf numFmtId="0" fontId="0" fillId="36" borderId="12" xfId="0" applyFill="1" applyBorder="1" applyAlignment="1">
      <alignment horizontal="center"/>
    </xf>
    <xf numFmtId="0" fontId="0" fillId="36" borderId="14" xfId="0" applyFill="1" applyBorder="1"/>
    <xf numFmtId="0" fontId="0" fillId="36" borderId="16" xfId="0" applyFill="1" applyBorder="1"/>
    <xf numFmtId="0" fontId="0" fillId="34" borderId="11" xfId="0" applyFill="1" applyBorder="1" applyAlignment="1">
      <alignment horizontal="center"/>
    </xf>
    <xf numFmtId="0" fontId="0" fillId="34" borderId="12" xfId="0" applyFill="1" applyBorder="1"/>
    <xf numFmtId="0" fontId="0" fillId="34" borderId="13" xfId="0" applyFill="1" applyBorder="1" applyAlignment="1">
      <alignment horizontal="center"/>
    </xf>
    <xf numFmtId="0" fontId="0" fillId="34" borderId="14" xfId="0" applyFill="1" applyBorder="1"/>
    <xf numFmtId="0" fontId="0" fillId="34" borderId="15" xfId="0" applyFill="1" applyBorder="1" applyAlignment="1">
      <alignment horizontal="center"/>
    </xf>
    <xf numFmtId="0" fontId="0" fillId="34" borderId="16" xfId="0" applyFill="1" applyBorder="1"/>
    <xf numFmtId="0" fontId="16" fillId="36" borderId="0" xfId="0" applyFont="1" applyFill="1"/>
    <xf numFmtId="0" fontId="0" fillId="36" borderId="0" xfId="0" applyFill="1"/>
    <xf numFmtId="0" fontId="0" fillId="38" borderId="0" xfId="0" applyFill="1"/>
    <xf numFmtId="0" fontId="16" fillId="38" borderId="0" xfId="0" applyFont="1" applyFill="1"/>
    <xf numFmtId="0" fontId="0" fillId="36" borderId="13" xfId="0" applyFill="1" applyBorder="1" applyAlignment="1">
      <alignment horizontal="center"/>
    </xf>
    <xf numFmtId="0" fontId="19" fillId="36" borderId="15" xfId="0" applyFont="1" applyFill="1" applyBorder="1" applyAlignment="1">
      <alignment horizontal="center"/>
    </xf>
    <xf numFmtId="0" fontId="16" fillId="34" borderId="0" xfId="0" applyFont="1" applyFill="1" applyBorder="1" applyAlignment="1">
      <alignment horizontal="center"/>
    </xf>
    <xf numFmtId="0" fontId="0" fillId="34" borderId="0" xfId="0" applyFill="1" applyBorder="1" applyAlignment="1">
      <alignment horizontal="left"/>
    </xf>
    <xf numFmtId="0" fontId="0" fillId="33" borderId="0" xfId="0" applyFill="1" applyBorder="1" applyAlignment="1">
      <alignment horizontal="left"/>
    </xf>
    <xf numFmtId="0" fontId="16" fillId="33" borderId="0" xfId="0" applyFont="1" applyFill="1" applyBorder="1" applyAlignment="1">
      <alignment horizontal="center"/>
    </xf>
    <xf numFmtId="0" fontId="0" fillId="33" borderId="12" xfId="0" applyFill="1" applyBorder="1"/>
    <xf numFmtId="0" fontId="0" fillId="33" borderId="13" xfId="0" applyFill="1" applyBorder="1" applyAlignment="1">
      <alignment horizontal="center"/>
    </xf>
    <xf numFmtId="0" fontId="0" fillId="33" borderId="15" xfId="0" applyFill="1" applyBorder="1" applyAlignment="1">
      <alignment horizontal="center"/>
    </xf>
    <xf numFmtId="0" fontId="0" fillId="33" borderId="17" xfId="0" applyFill="1" applyBorder="1" applyAlignment="1">
      <alignment horizontal="center"/>
    </xf>
    <xf numFmtId="0" fontId="0" fillId="33" borderId="18" xfId="0" applyFill="1" applyBorder="1"/>
    <xf numFmtId="0" fontId="0" fillId="39" borderId="0" xfId="0" applyFill="1" applyAlignment="1">
      <alignment horizontal="center"/>
    </xf>
    <xf numFmtId="0" fontId="0" fillId="39" borderId="0" xfId="0" applyFill="1"/>
    <xf numFmtId="0" fontId="21" fillId="0" borderId="0" xfId="0" applyFont="1"/>
    <xf numFmtId="14" fontId="0" fillId="0" borderId="0" xfId="0" applyNumberFormat="1" applyAlignment="1">
      <alignment horizontal="center"/>
    </xf>
    <xf numFmtId="0" fontId="18" fillId="37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US"/>
              <a:t>Plot</a:t>
            </a:r>
            <a:r>
              <a:rPr lang="en-US" baseline="0"/>
              <a:t> of Residual Strain Data from Traces b, c, or d in Columns E to H</a:t>
            </a:r>
            <a:endParaRPr lang="en-US"/>
          </a:p>
        </c:rich>
      </c:tx>
      <c:layout>
        <c:manualLayout>
          <c:xMode val="edge"/>
          <c:yMode val="edge"/>
          <c:x val="0.11972508591065292"/>
          <c:y val="2.7777777777777776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3744557188083448"/>
          <c:y val="0.25024314668999709"/>
          <c:w val="0.67713807938956094"/>
          <c:h val="0.64748833479148449"/>
        </c:manualLayout>
      </c:layout>
      <c:scatterChart>
        <c:scatterStyle val="lineMarker"/>
        <c:varyColors val="0"/>
        <c:ser>
          <c:idx val="0"/>
          <c:order val="0"/>
          <c:xVal>
            <c:numRef>
              <c:f>'8-MUMPs95.RS.P2.0deg.500.third.'!$E$68:$E$623</c:f>
              <c:numCache>
                <c:formatCode>General</c:formatCode>
                <c:ptCount val="556"/>
                <c:pt idx="98">
                  <c:v>320.70524211599997</c:v>
                </c:pt>
                <c:pt idx="99">
                  <c:v>322.68544584800003</c:v>
                </c:pt>
                <c:pt idx="100">
                  <c:v>324.66464081599997</c:v>
                </c:pt>
                <c:pt idx="101">
                  <c:v>326.64383578399998</c:v>
                </c:pt>
                <c:pt idx="102">
                  <c:v>328.62403951599993</c:v>
                </c:pt>
                <c:pt idx="103">
                  <c:v>330.60323448399998</c:v>
                </c:pt>
                <c:pt idx="104">
                  <c:v>332.58343821599993</c:v>
                </c:pt>
                <c:pt idx="105">
                  <c:v>334.56263318399999</c:v>
                </c:pt>
                <c:pt idx="106">
                  <c:v>336.54283691599994</c:v>
                </c:pt>
                <c:pt idx="107">
                  <c:v>338.522031884</c:v>
                </c:pt>
                <c:pt idx="108">
                  <c:v>340.50223561600001</c:v>
                </c:pt>
                <c:pt idx="109">
                  <c:v>342.48143058399995</c:v>
                </c:pt>
                <c:pt idx="110">
                  <c:v>344.46163431600007</c:v>
                </c:pt>
                <c:pt idx="111">
                  <c:v>346.44082928399996</c:v>
                </c:pt>
                <c:pt idx="112">
                  <c:v>348.42103301600002</c:v>
                </c:pt>
                <c:pt idx="113">
                  <c:v>350.40022798399997</c:v>
                </c:pt>
                <c:pt idx="114">
                  <c:v>352.37942295200003</c:v>
                </c:pt>
                <c:pt idx="115">
                  <c:v>354.35962668399998</c:v>
                </c:pt>
                <c:pt idx="116">
                  <c:v>356.33882165199998</c:v>
                </c:pt>
                <c:pt idx="117">
                  <c:v>358.31902538400004</c:v>
                </c:pt>
                <c:pt idx="118">
                  <c:v>360.29822035199999</c:v>
                </c:pt>
                <c:pt idx="119">
                  <c:v>362.27842408399999</c:v>
                </c:pt>
                <c:pt idx="120">
                  <c:v>364.257619052</c:v>
                </c:pt>
                <c:pt idx="121">
                  <c:v>366.237822784</c:v>
                </c:pt>
                <c:pt idx="122">
                  <c:v>368.217017752</c:v>
                </c:pt>
                <c:pt idx="123">
                  <c:v>370.19722148400001</c:v>
                </c:pt>
                <c:pt idx="124">
                  <c:v>372.17641645200001</c:v>
                </c:pt>
                <c:pt idx="125">
                  <c:v>374.15662018400002</c:v>
                </c:pt>
                <c:pt idx="126">
                  <c:v>376.13581515200002</c:v>
                </c:pt>
                <c:pt idx="127">
                  <c:v>378.11601888400003</c:v>
                </c:pt>
                <c:pt idx="128">
                  <c:v>380.09521385200003</c:v>
                </c:pt>
                <c:pt idx="129">
                  <c:v>382.07440881999997</c:v>
                </c:pt>
                <c:pt idx="130">
                  <c:v>384.05461255200004</c:v>
                </c:pt>
                <c:pt idx="131">
                  <c:v>386.03380751999998</c:v>
                </c:pt>
                <c:pt idx="132">
                  <c:v>388.01401125200005</c:v>
                </c:pt>
                <c:pt idx="133">
                  <c:v>389.99320621999993</c:v>
                </c:pt>
                <c:pt idx="134">
                  <c:v>391.97340995200005</c:v>
                </c:pt>
                <c:pt idx="135">
                  <c:v>393.95260491999994</c:v>
                </c:pt>
                <c:pt idx="136">
                  <c:v>395.93280865200001</c:v>
                </c:pt>
                <c:pt idx="137">
                  <c:v>397.91200362000001</c:v>
                </c:pt>
                <c:pt idx="138">
                  <c:v>399.89220735200001</c:v>
                </c:pt>
                <c:pt idx="139">
                  <c:v>401.87140232000002</c:v>
                </c:pt>
                <c:pt idx="140">
                  <c:v>403.85160605200002</c:v>
                </c:pt>
                <c:pt idx="141">
                  <c:v>405.83080102000002</c:v>
                </c:pt>
                <c:pt idx="142">
                  <c:v>407.80999598799997</c:v>
                </c:pt>
                <c:pt idx="143">
                  <c:v>409.79019971999998</c:v>
                </c:pt>
                <c:pt idx="144">
                  <c:v>411.76939468799998</c:v>
                </c:pt>
                <c:pt idx="145">
                  <c:v>413.74959841999998</c:v>
                </c:pt>
                <c:pt idx="146">
                  <c:v>415.72879338800004</c:v>
                </c:pt>
                <c:pt idx="147">
                  <c:v>417.70899711999999</c:v>
                </c:pt>
                <c:pt idx="148">
                  <c:v>419.68819208800005</c:v>
                </c:pt>
                <c:pt idx="149">
                  <c:v>421.66839582</c:v>
                </c:pt>
                <c:pt idx="150">
                  <c:v>423.647590788</c:v>
                </c:pt>
                <c:pt idx="151">
                  <c:v>425.62779452000001</c:v>
                </c:pt>
                <c:pt idx="152">
                  <c:v>427.60698948800001</c:v>
                </c:pt>
                <c:pt idx="153">
                  <c:v>429.58719321999996</c:v>
                </c:pt>
                <c:pt idx="154">
                  <c:v>431.56638818800002</c:v>
                </c:pt>
                <c:pt idx="155">
                  <c:v>433.54558315600002</c:v>
                </c:pt>
                <c:pt idx="156">
                  <c:v>435.52578688800003</c:v>
                </c:pt>
                <c:pt idx="157">
                  <c:v>437.50498185599997</c:v>
                </c:pt>
                <c:pt idx="158">
                  <c:v>439.48518558800004</c:v>
                </c:pt>
                <c:pt idx="159">
                  <c:v>441.46438055599998</c:v>
                </c:pt>
                <c:pt idx="160">
                  <c:v>443.44458428799999</c:v>
                </c:pt>
                <c:pt idx="161">
                  <c:v>445.42377925599999</c:v>
                </c:pt>
                <c:pt idx="162">
                  <c:v>447.403982988</c:v>
                </c:pt>
                <c:pt idx="163">
                  <c:v>449.38317795600005</c:v>
                </c:pt>
                <c:pt idx="164">
                  <c:v>451.363381688</c:v>
                </c:pt>
                <c:pt idx="165">
                  <c:v>453.34257665600006</c:v>
                </c:pt>
                <c:pt idx="166">
                  <c:v>455.32278038800001</c:v>
                </c:pt>
                <c:pt idx="167">
                  <c:v>457.30197535600001</c:v>
                </c:pt>
                <c:pt idx="168">
                  <c:v>459.28217908799996</c:v>
                </c:pt>
                <c:pt idx="169">
                  <c:v>461.26137405600002</c:v>
                </c:pt>
                <c:pt idx="170">
                  <c:v>463.24056902400002</c:v>
                </c:pt>
                <c:pt idx="171">
                  <c:v>465.22077275600003</c:v>
                </c:pt>
                <c:pt idx="172">
                  <c:v>467.19996772400003</c:v>
                </c:pt>
                <c:pt idx="173">
                  <c:v>469.18017145600004</c:v>
                </c:pt>
                <c:pt idx="174">
                  <c:v>471.15936642399998</c:v>
                </c:pt>
                <c:pt idx="175">
                  <c:v>473.13957015599999</c:v>
                </c:pt>
                <c:pt idx="176">
                  <c:v>475.11876512399999</c:v>
                </c:pt>
                <c:pt idx="177">
                  <c:v>477.098968856</c:v>
                </c:pt>
                <c:pt idx="178">
                  <c:v>479.078163824</c:v>
                </c:pt>
                <c:pt idx="179">
                  <c:v>481.05836755600001</c:v>
                </c:pt>
                <c:pt idx="180">
                  <c:v>483.03756252400001</c:v>
                </c:pt>
                <c:pt idx="181">
                  <c:v>485.01776625600002</c:v>
                </c:pt>
                <c:pt idx="182">
                  <c:v>486.99696122399996</c:v>
                </c:pt>
                <c:pt idx="183">
                  <c:v>488.97615619200002</c:v>
                </c:pt>
                <c:pt idx="184">
                  <c:v>490.95635992399997</c:v>
                </c:pt>
                <c:pt idx="185">
                  <c:v>492.93555489200003</c:v>
                </c:pt>
                <c:pt idx="186">
                  <c:v>494.91575862399998</c:v>
                </c:pt>
                <c:pt idx="187">
                  <c:v>496.89495359200004</c:v>
                </c:pt>
                <c:pt idx="188">
                  <c:v>498.87515732399999</c:v>
                </c:pt>
                <c:pt idx="189">
                  <c:v>500.85435229200004</c:v>
                </c:pt>
                <c:pt idx="190">
                  <c:v>502.83455602399999</c:v>
                </c:pt>
                <c:pt idx="191">
                  <c:v>504.813750992</c:v>
                </c:pt>
                <c:pt idx="192">
                  <c:v>506.793954724</c:v>
                </c:pt>
                <c:pt idx="193">
                  <c:v>508.77314969200006</c:v>
                </c:pt>
                <c:pt idx="194">
                  <c:v>510.75335342399995</c:v>
                </c:pt>
                <c:pt idx="195">
                  <c:v>512.73254839200001</c:v>
                </c:pt>
                <c:pt idx="196">
                  <c:v>514.71174336000001</c:v>
                </c:pt>
                <c:pt idx="197">
                  <c:v>516.69194709199996</c:v>
                </c:pt>
                <c:pt idx="198">
                  <c:v>518.67114205999997</c:v>
                </c:pt>
                <c:pt idx="199">
                  <c:v>520.65134579200003</c:v>
                </c:pt>
                <c:pt idx="200">
                  <c:v>522.63054076000003</c:v>
                </c:pt>
                <c:pt idx="201">
                  <c:v>524.61074449199998</c:v>
                </c:pt>
                <c:pt idx="202">
                  <c:v>526.58993945999998</c:v>
                </c:pt>
                <c:pt idx="203">
                  <c:v>528.57014319200005</c:v>
                </c:pt>
                <c:pt idx="204">
                  <c:v>530.54933815999993</c:v>
                </c:pt>
                <c:pt idx="205">
                  <c:v>532.529541892</c:v>
                </c:pt>
                <c:pt idx="206">
                  <c:v>534.50873686</c:v>
                </c:pt>
                <c:pt idx="207">
                  <c:v>536.48894059199995</c:v>
                </c:pt>
                <c:pt idx="208">
                  <c:v>538.46813555999995</c:v>
                </c:pt>
                <c:pt idx="209">
                  <c:v>540.44833929200001</c:v>
                </c:pt>
                <c:pt idx="210">
                  <c:v>542.42753426000002</c:v>
                </c:pt>
                <c:pt idx="211">
                  <c:v>544.4067292279999</c:v>
                </c:pt>
                <c:pt idx="212">
                  <c:v>546.38693295999997</c:v>
                </c:pt>
                <c:pt idx="213">
                  <c:v>548.36612792799997</c:v>
                </c:pt>
                <c:pt idx="214">
                  <c:v>550.34633165999992</c:v>
                </c:pt>
                <c:pt idx="215">
                  <c:v>552.32552662799992</c:v>
                </c:pt>
                <c:pt idx="216">
                  <c:v>554.30573035999998</c:v>
                </c:pt>
                <c:pt idx="217">
                  <c:v>556.28492532799999</c:v>
                </c:pt>
                <c:pt idx="218">
                  <c:v>558.26512905999994</c:v>
                </c:pt>
                <c:pt idx="219">
                  <c:v>560.24432402799994</c:v>
                </c:pt>
                <c:pt idx="220">
                  <c:v>562.22452775999989</c:v>
                </c:pt>
                <c:pt idx="221">
                  <c:v>564.203722728</c:v>
                </c:pt>
                <c:pt idx="222">
                  <c:v>566.18392645999995</c:v>
                </c:pt>
                <c:pt idx="223">
                  <c:v>568.16312142800007</c:v>
                </c:pt>
                <c:pt idx="224">
                  <c:v>570.14231639600007</c:v>
                </c:pt>
                <c:pt idx="225">
                  <c:v>572.12252012800002</c:v>
                </c:pt>
                <c:pt idx="226">
                  <c:v>574.10171509600002</c:v>
                </c:pt>
                <c:pt idx="227">
                  <c:v>576.08191882799997</c:v>
                </c:pt>
                <c:pt idx="228">
                  <c:v>578.06111379599997</c:v>
                </c:pt>
                <c:pt idx="229">
                  <c:v>580.04131752800004</c:v>
                </c:pt>
                <c:pt idx="230">
                  <c:v>582.02051249600004</c:v>
                </c:pt>
                <c:pt idx="231">
                  <c:v>584.00071622799999</c:v>
                </c:pt>
                <c:pt idx="232">
                  <c:v>585.97991119599999</c:v>
                </c:pt>
                <c:pt idx="233">
                  <c:v>587.96011492800005</c:v>
                </c:pt>
                <c:pt idx="234">
                  <c:v>589.93930989599994</c:v>
                </c:pt>
                <c:pt idx="235">
                  <c:v>591.919513628</c:v>
                </c:pt>
                <c:pt idx="236">
                  <c:v>593.89870859600001</c:v>
                </c:pt>
                <c:pt idx="237">
                  <c:v>595.87790356400001</c:v>
                </c:pt>
                <c:pt idx="238">
                  <c:v>597.85810729599996</c:v>
                </c:pt>
                <c:pt idx="239">
                  <c:v>599.83730226399996</c:v>
                </c:pt>
                <c:pt idx="240">
                  <c:v>601.81750599600002</c:v>
                </c:pt>
                <c:pt idx="241">
                  <c:v>603.79670096400002</c:v>
                </c:pt>
                <c:pt idx="242">
                  <c:v>605.77690469599997</c:v>
                </c:pt>
                <c:pt idx="243">
                  <c:v>607.75609966399998</c:v>
                </c:pt>
                <c:pt idx="244">
                  <c:v>609.73630339599993</c:v>
                </c:pt>
                <c:pt idx="245">
                  <c:v>611.71549836399993</c:v>
                </c:pt>
                <c:pt idx="246">
                  <c:v>613.69570209599999</c:v>
                </c:pt>
                <c:pt idx="247">
                  <c:v>615.67489706399999</c:v>
                </c:pt>
                <c:pt idx="248">
                  <c:v>617.65510079599994</c:v>
                </c:pt>
                <c:pt idx="249">
                  <c:v>619.63429576399994</c:v>
                </c:pt>
                <c:pt idx="250">
                  <c:v>621.61349073199995</c:v>
                </c:pt>
                <c:pt idx="251">
                  <c:v>623.5936944639999</c:v>
                </c:pt>
                <c:pt idx="252">
                  <c:v>625.5728894319999</c:v>
                </c:pt>
                <c:pt idx="253">
                  <c:v>627.55309316399996</c:v>
                </c:pt>
                <c:pt idx="254">
                  <c:v>629.53228813199996</c:v>
                </c:pt>
                <c:pt idx="255">
                  <c:v>631.51249186399991</c:v>
                </c:pt>
                <c:pt idx="256">
                  <c:v>633.49168683199991</c:v>
                </c:pt>
                <c:pt idx="257">
                  <c:v>635.47189056399998</c:v>
                </c:pt>
                <c:pt idx="258">
                  <c:v>637.45108553199987</c:v>
                </c:pt>
                <c:pt idx="259">
                  <c:v>639.43128926399993</c:v>
                </c:pt>
                <c:pt idx="260">
                  <c:v>641.41048423199993</c:v>
                </c:pt>
                <c:pt idx="261">
                  <c:v>643.39068796399988</c:v>
                </c:pt>
                <c:pt idx="262">
                  <c:v>645.36988293199988</c:v>
                </c:pt>
                <c:pt idx="263">
                  <c:v>647.35008666399995</c:v>
                </c:pt>
                <c:pt idx="264">
                  <c:v>649.32928163199995</c:v>
                </c:pt>
                <c:pt idx="265">
                  <c:v>651.30847659999995</c:v>
                </c:pt>
                <c:pt idx="266">
                  <c:v>653.2886803319999</c:v>
                </c:pt>
                <c:pt idx="267">
                  <c:v>655.26787530000001</c:v>
                </c:pt>
                <c:pt idx="268">
                  <c:v>657.24807903199985</c:v>
                </c:pt>
                <c:pt idx="269">
                  <c:v>659.22727399999997</c:v>
                </c:pt>
                <c:pt idx="270">
                  <c:v>661.20747773199992</c:v>
                </c:pt>
                <c:pt idx="271">
                  <c:v>663.18667270000003</c:v>
                </c:pt>
                <c:pt idx="272">
                  <c:v>665.16687643199987</c:v>
                </c:pt>
                <c:pt idx="273">
                  <c:v>667.14607139999998</c:v>
                </c:pt>
                <c:pt idx="274">
                  <c:v>669.12627513199993</c:v>
                </c:pt>
                <c:pt idx="275">
                  <c:v>671.10547009999993</c:v>
                </c:pt>
                <c:pt idx="276">
                  <c:v>673.08567383199988</c:v>
                </c:pt>
                <c:pt idx="277">
                  <c:v>675.0648688</c:v>
                </c:pt>
                <c:pt idx="278">
                  <c:v>677.044063768</c:v>
                </c:pt>
                <c:pt idx="279">
                  <c:v>679.02426749999995</c:v>
                </c:pt>
                <c:pt idx="280">
                  <c:v>681.00346246799995</c:v>
                </c:pt>
                <c:pt idx="281">
                  <c:v>682.98366620000002</c:v>
                </c:pt>
                <c:pt idx="282">
                  <c:v>684.9628611679999</c:v>
                </c:pt>
                <c:pt idx="283">
                  <c:v>686.94306489999997</c:v>
                </c:pt>
                <c:pt idx="284">
                  <c:v>688.92225986799997</c:v>
                </c:pt>
                <c:pt idx="285">
                  <c:v>690.90246359999992</c:v>
                </c:pt>
                <c:pt idx="286">
                  <c:v>692.88165856799992</c:v>
                </c:pt>
                <c:pt idx="287">
                  <c:v>694.8618623000001</c:v>
                </c:pt>
                <c:pt idx="288">
                  <c:v>696.84105726799999</c:v>
                </c:pt>
                <c:pt idx="289">
                  <c:v>698.82126100000005</c:v>
                </c:pt>
                <c:pt idx="290">
                  <c:v>700.80045596799994</c:v>
                </c:pt>
                <c:pt idx="291">
                  <c:v>702.77965093599994</c:v>
                </c:pt>
                <c:pt idx="292">
                  <c:v>704.75985466799989</c:v>
                </c:pt>
                <c:pt idx="293">
                  <c:v>706.73904963599989</c:v>
                </c:pt>
                <c:pt idx="294">
                  <c:v>708.71925336799995</c:v>
                </c:pt>
                <c:pt idx="295">
                  <c:v>710.69844833599996</c:v>
                </c:pt>
                <c:pt idx="296">
                  <c:v>712.67865206799991</c:v>
                </c:pt>
                <c:pt idx="297">
                  <c:v>714.65784703599991</c:v>
                </c:pt>
                <c:pt idx="298">
                  <c:v>716.63805076800008</c:v>
                </c:pt>
                <c:pt idx="299">
                  <c:v>718.61724573599986</c:v>
                </c:pt>
                <c:pt idx="300">
                  <c:v>720.59744946800004</c:v>
                </c:pt>
                <c:pt idx="301">
                  <c:v>722.57664443599992</c:v>
                </c:pt>
                <c:pt idx="302">
                  <c:v>724.55684816799999</c:v>
                </c:pt>
                <c:pt idx="303">
                  <c:v>726.53604313599988</c:v>
                </c:pt>
                <c:pt idx="304">
                  <c:v>728.51624686800005</c:v>
                </c:pt>
                <c:pt idx="305">
                  <c:v>730.49544183599994</c:v>
                </c:pt>
                <c:pt idx="306">
                  <c:v>732.47463680399994</c:v>
                </c:pt>
                <c:pt idx="307">
                  <c:v>734.45484053600001</c:v>
                </c:pt>
                <c:pt idx="308">
                  <c:v>736.43403550400001</c:v>
                </c:pt>
                <c:pt idx="309">
                  <c:v>738.41423923599996</c:v>
                </c:pt>
                <c:pt idx="310">
                  <c:v>740.39343420399996</c:v>
                </c:pt>
                <c:pt idx="311">
                  <c:v>742.37363793600002</c:v>
                </c:pt>
                <c:pt idx="312">
                  <c:v>744.35283290400002</c:v>
                </c:pt>
                <c:pt idx="313">
                  <c:v>746.33303663599997</c:v>
                </c:pt>
                <c:pt idx="314">
                  <c:v>748.31223160399998</c:v>
                </c:pt>
                <c:pt idx="315">
                  <c:v>750.29243533600004</c:v>
                </c:pt>
                <c:pt idx="316">
                  <c:v>752.27163030400004</c:v>
                </c:pt>
                <c:pt idx="317">
                  <c:v>754.25183403599999</c:v>
                </c:pt>
                <c:pt idx="318">
                  <c:v>756.23102900400011</c:v>
                </c:pt>
                <c:pt idx="319">
                  <c:v>758.21022397199999</c:v>
                </c:pt>
                <c:pt idx="320">
                  <c:v>760.19042770400006</c:v>
                </c:pt>
                <c:pt idx="321">
                  <c:v>762.16962267199995</c:v>
                </c:pt>
                <c:pt idx="322">
                  <c:v>764.14982640400012</c:v>
                </c:pt>
                <c:pt idx="323">
                  <c:v>766.1290213719999</c:v>
                </c:pt>
                <c:pt idx="324">
                  <c:v>768.10922510400007</c:v>
                </c:pt>
                <c:pt idx="325">
                  <c:v>770.08842007200008</c:v>
                </c:pt>
                <c:pt idx="326">
                  <c:v>772.06862380400003</c:v>
                </c:pt>
                <c:pt idx="327">
                  <c:v>774.04781877200003</c:v>
                </c:pt>
                <c:pt idx="328">
                  <c:v>776.02802250400009</c:v>
                </c:pt>
                <c:pt idx="329">
                  <c:v>778.00721747200009</c:v>
                </c:pt>
                <c:pt idx="330">
                  <c:v>779.98742120400004</c:v>
                </c:pt>
                <c:pt idx="331">
                  <c:v>781.96661617200004</c:v>
                </c:pt>
                <c:pt idx="332">
                  <c:v>783.94581113999993</c:v>
                </c:pt>
                <c:pt idx="333">
                  <c:v>785.926014872</c:v>
                </c:pt>
                <c:pt idx="334">
                  <c:v>787.90520983999988</c:v>
                </c:pt>
                <c:pt idx="335">
                  <c:v>789.88541357200006</c:v>
                </c:pt>
                <c:pt idx="336">
                  <c:v>791.86460854000006</c:v>
                </c:pt>
                <c:pt idx="337">
                  <c:v>793.84481227200001</c:v>
                </c:pt>
                <c:pt idx="338">
                  <c:v>795.82400724000001</c:v>
                </c:pt>
                <c:pt idx="339">
                  <c:v>797.80421097200008</c:v>
                </c:pt>
                <c:pt idx="340">
                  <c:v>799.78340593999997</c:v>
                </c:pt>
                <c:pt idx="341">
                  <c:v>801.76360967200003</c:v>
                </c:pt>
                <c:pt idx="342">
                  <c:v>803.74280464000003</c:v>
                </c:pt>
                <c:pt idx="343">
                  <c:v>805.72300837199998</c:v>
                </c:pt>
                <c:pt idx="344">
                  <c:v>807.70220333999998</c:v>
                </c:pt>
                <c:pt idx="345">
                  <c:v>809.68240707200005</c:v>
                </c:pt>
                <c:pt idx="346">
                  <c:v>811.66160204000005</c:v>
                </c:pt>
                <c:pt idx="347">
                  <c:v>813.64079700800005</c:v>
                </c:pt>
                <c:pt idx="348">
                  <c:v>815.62100074</c:v>
                </c:pt>
                <c:pt idx="349">
                  <c:v>817.60019570800011</c:v>
                </c:pt>
              </c:numCache>
            </c:numRef>
          </c:xVal>
          <c:yVal>
            <c:numRef>
              <c:f>'8-MUMPs95.RS.P2.0deg.500.third.'!$F$68:$F$623</c:f>
              <c:numCache>
                <c:formatCode>General</c:formatCode>
                <c:ptCount val="556"/>
                <c:pt idx="98">
                  <c:v>2.7350354130000003</c:v>
                </c:pt>
                <c:pt idx="99">
                  <c:v>2.8912861098000002</c:v>
                </c:pt>
                <c:pt idx="100">
                  <c:v>2.8220862383999998</c:v>
                </c:pt>
                <c:pt idx="101">
                  <c:v>2.8239112242000002</c:v>
                </c:pt>
                <c:pt idx="102">
                  <c:v>2.8328367012000002</c:v>
                </c:pt>
                <c:pt idx="103">
                  <c:v>2.862086337</c:v>
                </c:pt>
                <c:pt idx="104">
                  <c:v>2.8742529090000004</c:v>
                </c:pt>
                <c:pt idx="105">
                  <c:v>2.8716301151999999</c:v>
                </c:pt>
                <c:pt idx="106">
                  <c:v>2.8651778430000001</c:v>
                </c:pt>
                <c:pt idx="107">
                  <c:v>2.8549260101999998</c:v>
                </c:pt>
                <c:pt idx="108">
                  <c:v>2.8475961492000001</c:v>
                </c:pt>
                <c:pt idx="109">
                  <c:v>2.817010185</c:v>
                </c:pt>
                <c:pt idx="110">
                  <c:v>2.7686729928</c:v>
                </c:pt>
                <c:pt idx="111">
                  <c:v>2.7408095483999997</c:v>
                </c:pt>
                <c:pt idx="112">
                  <c:v>2.7495954090000003</c:v>
                </c:pt>
                <c:pt idx="113">
                  <c:v>2.7333600162000002</c:v>
                </c:pt>
                <c:pt idx="114">
                  <c:v>2.7504430800000002</c:v>
                </c:pt>
                <c:pt idx="115">
                  <c:v>2.7820063589999999</c:v>
                </c:pt>
                <c:pt idx="116">
                  <c:v>2.8364467824000004</c:v>
                </c:pt>
                <c:pt idx="117">
                  <c:v>3.0184267872000001</c:v>
                </c:pt>
                <c:pt idx="118">
                  <c:v>2.1247721286000001</c:v>
                </c:pt>
                <c:pt idx="119">
                  <c:v>1.8448113288000001</c:v>
                </c:pt>
                <c:pt idx="120">
                  <c:v>1.7319713598000002</c:v>
                </c:pt>
                <c:pt idx="121">
                  <c:v>1.6566283668000001</c:v>
                </c:pt>
                <c:pt idx="122">
                  <c:v>1.7081069280000001</c:v>
                </c:pt>
                <c:pt idx="123">
                  <c:v>1.8040533126</c:v>
                </c:pt>
                <c:pt idx="124">
                  <c:v>1.8475238760000001</c:v>
                </c:pt>
                <c:pt idx="125">
                  <c:v>1.8517422858000001</c:v>
                </c:pt>
                <c:pt idx="126">
                  <c:v>1.7729288280000002</c:v>
                </c:pt>
                <c:pt idx="127">
                  <c:v>1.6344094140000001</c:v>
                </c:pt>
                <c:pt idx="128">
                  <c:v>1.4803028262</c:v>
                </c:pt>
                <c:pt idx="129">
                  <c:v>1.5087147636000002</c:v>
                </c:pt>
                <c:pt idx="130">
                  <c:v>1.6507644780000001</c:v>
                </c:pt>
                <c:pt idx="131">
                  <c:v>1.713940899</c:v>
                </c:pt>
                <c:pt idx="132">
                  <c:v>1.7147287344000002</c:v>
                </c:pt>
                <c:pt idx="133">
                  <c:v>1.6187424593999999</c:v>
                </c:pt>
                <c:pt idx="134">
                  <c:v>1.4166078300000002</c:v>
                </c:pt>
                <c:pt idx="135">
                  <c:v>1.3321099902</c:v>
                </c:pt>
                <c:pt idx="136">
                  <c:v>1.4298414702</c:v>
                </c:pt>
                <c:pt idx="137">
                  <c:v>1.5364685093999999</c:v>
                </c:pt>
                <c:pt idx="138">
                  <c:v>1.5590065854000001</c:v>
                </c:pt>
                <c:pt idx="139">
                  <c:v>1.4711579520000002</c:v>
                </c:pt>
                <c:pt idx="140">
                  <c:v>1.3153261044</c:v>
                </c:pt>
                <c:pt idx="141">
                  <c:v>1.1688485556000001</c:v>
                </c:pt>
                <c:pt idx="142">
                  <c:v>1.2564079835999999</c:v>
                </c:pt>
                <c:pt idx="143">
                  <c:v>1.3445857128000001</c:v>
                </c:pt>
                <c:pt idx="144">
                  <c:v>1.3665254328000001</c:v>
                </c:pt>
                <c:pt idx="145">
                  <c:v>1.288011153</c:v>
                </c:pt>
                <c:pt idx="146">
                  <c:v>1.1189157474</c:v>
                </c:pt>
                <c:pt idx="147">
                  <c:v>1.0061555592</c:v>
                </c:pt>
                <c:pt idx="148">
                  <c:v>1.1094417774000001</c:v>
                </c:pt>
                <c:pt idx="149">
                  <c:v>1.2287140733999999</c:v>
                </c:pt>
                <c:pt idx="150">
                  <c:v>1.2286442652</c:v>
                </c:pt>
                <c:pt idx="151">
                  <c:v>1.1233236365999999</c:v>
                </c:pt>
                <c:pt idx="152">
                  <c:v>0.95913973650000006</c:v>
                </c:pt>
                <c:pt idx="153">
                  <c:v>0.90146320440000005</c:v>
                </c:pt>
                <c:pt idx="154">
                  <c:v>0.98901565158000004</c:v>
                </c:pt>
                <c:pt idx="155">
                  <c:v>1.0905835908000001</c:v>
                </c:pt>
                <c:pt idx="156">
                  <c:v>1.0461955482</c:v>
                </c:pt>
                <c:pt idx="157">
                  <c:v>0.90558886902000002</c:v>
                </c:pt>
                <c:pt idx="158">
                  <c:v>0.80536124724000002</c:v>
                </c:pt>
                <c:pt idx="159">
                  <c:v>0.78391317642000002</c:v>
                </c:pt>
                <c:pt idx="160">
                  <c:v>0.83842141349999999</c:v>
                </c:pt>
                <c:pt idx="161">
                  <c:v>0.8867725673400001</c:v>
                </c:pt>
                <c:pt idx="162">
                  <c:v>0.87303331632000003</c:v>
                </c:pt>
                <c:pt idx="163">
                  <c:v>0.75693629616000002</c:v>
                </c:pt>
                <c:pt idx="164">
                  <c:v>0.66797870964000006</c:v>
                </c:pt>
                <c:pt idx="165">
                  <c:v>0.63657000594000002</c:v>
                </c:pt>
                <c:pt idx="166">
                  <c:v>0.67880995050000004</c:v>
                </c:pt>
                <c:pt idx="167">
                  <c:v>0.71853480534000003</c:v>
                </c:pt>
                <c:pt idx="168">
                  <c:v>0.65281138230000002</c:v>
                </c:pt>
                <c:pt idx="169">
                  <c:v>0.60244376874000005</c:v>
                </c:pt>
                <c:pt idx="170">
                  <c:v>0.53540894880000001</c:v>
                </c:pt>
                <c:pt idx="171">
                  <c:v>0.52159889232000012</c:v>
                </c:pt>
                <c:pt idx="172">
                  <c:v>0.49608499248000004</c:v>
                </c:pt>
                <c:pt idx="173">
                  <c:v>0.52317855215999998</c:v>
                </c:pt>
                <c:pt idx="174">
                  <c:v>0.51929023541999997</c:v>
                </c:pt>
                <c:pt idx="175">
                  <c:v>0.47561323920000004</c:v>
                </c:pt>
                <c:pt idx="176">
                  <c:v>0.40439989986000002</c:v>
                </c:pt>
                <c:pt idx="177">
                  <c:v>0.37560401736000004</c:v>
                </c:pt>
                <c:pt idx="178">
                  <c:v>0.36474784500000001</c:v>
                </c:pt>
                <c:pt idx="179">
                  <c:v>0.35488693812000005</c:v>
                </c:pt>
                <c:pt idx="180">
                  <c:v>0.35050398041999997</c:v>
                </c:pt>
                <c:pt idx="181">
                  <c:v>0.38067508445999998</c:v>
                </c:pt>
                <c:pt idx="182">
                  <c:v>0.32862210150000004</c:v>
                </c:pt>
                <c:pt idx="183">
                  <c:v>0.25439304792</c:v>
                </c:pt>
                <c:pt idx="184">
                  <c:v>0.20713189926</c:v>
                </c:pt>
                <c:pt idx="185">
                  <c:v>0.20060882160000001</c:v>
                </c:pt>
                <c:pt idx="186">
                  <c:v>0.19365293310000001</c:v>
                </c:pt>
                <c:pt idx="187">
                  <c:v>0.21202545408000001</c:v>
                </c:pt>
                <c:pt idx="188">
                  <c:v>0.19628171046000001</c:v>
                </c:pt>
                <c:pt idx="189">
                  <c:v>0.13208509248000003</c:v>
                </c:pt>
                <c:pt idx="190">
                  <c:v>8.6451272688E-2</c:v>
                </c:pt>
                <c:pt idx="191">
                  <c:v>7.2025308432000001E-2</c:v>
                </c:pt>
                <c:pt idx="192">
                  <c:v>7.4588765262000006E-2</c:v>
                </c:pt>
                <c:pt idx="193">
                  <c:v>7.0176787296000007E-2</c:v>
                </c:pt>
                <c:pt idx="194">
                  <c:v>4.6287025092000007E-2</c:v>
                </c:pt>
                <c:pt idx="195">
                  <c:v>1.9675341444000002E-2</c:v>
                </c:pt>
                <c:pt idx="196">
                  <c:v>2.2796366340000002E-2</c:v>
                </c:pt>
                <c:pt idx="197">
                  <c:v>3.1081402968000004E-2</c:v>
                </c:pt>
                <c:pt idx="198">
                  <c:v>-2.4635612958000003E-4</c:v>
                </c:pt>
                <c:pt idx="199">
                  <c:v>-3.9024379416000003E-2</c:v>
                </c:pt>
                <c:pt idx="200">
                  <c:v>-5.4502153794000002E-2</c:v>
                </c:pt>
                <c:pt idx="201">
                  <c:v>-5.3255877972000001E-2</c:v>
                </c:pt>
                <c:pt idx="202">
                  <c:v>-6.1280928918000001E-2</c:v>
                </c:pt>
                <c:pt idx="203">
                  <c:v>-6.8351602044000009E-2</c:v>
                </c:pt>
                <c:pt idx="204">
                  <c:v>-8.6317639848000005E-2</c:v>
                </c:pt>
                <c:pt idx="205">
                  <c:v>-0.10924584396000001</c:v>
                </c:pt>
                <c:pt idx="206">
                  <c:v>-0.12732417324</c:v>
                </c:pt>
                <c:pt idx="207">
                  <c:v>-0.15259174986000001</c:v>
                </c:pt>
                <c:pt idx="208">
                  <c:v>-0.15353615508000001</c:v>
                </c:pt>
                <c:pt idx="209">
                  <c:v>-0.14769121422000001</c:v>
                </c:pt>
                <c:pt idx="210">
                  <c:v>-0.14480813556</c:v>
                </c:pt>
                <c:pt idx="211">
                  <c:v>-0.15216691709999999</c:v>
                </c:pt>
                <c:pt idx="212">
                  <c:v>-0.17261872518000002</c:v>
                </c:pt>
                <c:pt idx="213">
                  <c:v>-0.18330735786000002</c:v>
                </c:pt>
                <c:pt idx="214">
                  <c:v>-0.20075442156000001</c:v>
                </c:pt>
                <c:pt idx="215">
                  <c:v>-0.19839789618000001</c:v>
                </c:pt>
                <c:pt idx="216">
                  <c:v>-0.19164445146</c:v>
                </c:pt>
                <c:pt idx="217">
                  <c:v>-0.17816349078000002</c:v>
                </c:pt>
                <c:pt idx="218">
                  <c:v>-0.17567831886000002</c:v>
                </c:pt>
                <c:pt idx="219">
                  <c:v>-0.16110136944</c:v>
                </c:pt>
                <c:pt idx="220">
                  <c:v>-0.17974913417999999</c:v>
                </c:pt>
                <c:pt idx="221">
                  <c:v>-0.18597802014000001</c:v>
                </c:pt>
                <c:pt idx="222">
                  <c:v>-0.19342555782000001</c:v>
                </c:pt>
                <c:pt idx="223">
                  <c:v>-0.19154372819999999</c:v>
                </c:pt>
                <c:pt idx="224">
                  <c:v>-0.20829969072000001</c:v>
                </c:pt>
                <c:pt idx="225">
                  <c:v>-0.20296135794</c:v>
                </c:pt>
                <c:pt idx="226">
                  <c:v>-0.21863329884000002</c:v>
                </c:pt>
                <c:pt idx="227">
                  <c:v>-0.21505712448</c:v>
                </c:pt>
                <c:pt idx="228">
                  <c:v>-0.20788682508</c:v>
                </c:pt>
                <c:pt idx="229">
                  <c:v>-0.20486811906000002</c:v>
                </c:pt>
                <c:pt idx="230">
                  <c:v>-0.20922714251999999</c:v>
                </c:pt>
                <c:pt idx="231">
                  <c:v>-0.19904013162</c:v>
                </c:pt>
                <c:pt idx="232">
                  <c:v>-0.18008620806</c:v>
                </c:pt>
                <c:pt idx="233">
                  <c:v>-0.17699968836000002</c:v>
                </c:pt>
                <c:pt idx="234">
                  <c:v>-0.18783691278</c:v>
                </c:pt>
                <c:pt idx="235">
                  <c:v>-0.19433007264000002</c:v>
                </c:pt>
                <c:pt idx="236">
                  <c:v>-0.18002138616000002</c:v>
                </c:pt>
                <c:pt idx="237">
                  <c:v>-0.17798398398000001</c:v>
                </c:pt>
                <c:pt idx="238">
                  <c:v>-0.18773319774</c:v>
                </c:pt>
                <c:pt idx="239">
                  <c:v>-0.20280678263999999</c:v>
                </c:pt>
                <c:pt idx="240">
                  <c:v>-0.18064567092</c:v>
                </c:pt>
                <c:pt idx="241">
                  <c:v>-0.15837386334</c:v>
                </c:pt>
                <c:pt idx="242">
                  <c:v>-0.14305495248</c:v>
                </c:pt>
                <c:pt idx="243">
                  <c:v>-0.14002826838000001</c:v>
                </c:pt>
                <c:pt idx="244">
                  <c:v>-0.12457572468</c:v>
                </c:pt>
                <c:pt idx="245">
                  <c:v>-0.10492571364</c:v>
                </c:pt>
                <c:pt idx="246">
                  <c:v>-9.5118559074000006E-2</c:v>
                </c:pt>
                <c:pt idx="247">
                  <c:v>-7.8173216880000007E-2</c:v>
                </c:pt>
                <c:pt idx="248">
                  <c:v>-5.4758848518000003E-2</c:v>
                </c:pt>
                <c:pt idx="249">
                  <c:v>-4.6644243623999999E-2</c:v>
                </c:pt>
                <c:pt idx="250">
                  <c:v>-3.5892783564000004E-2</c:v>
                </c:pt>
                <c:pt idx="251">
                  <c:v>-4.4071213097999995E-2</c:v>
                </c:pt>
                <c:pt idx="252">
                  <c:v>-5.0572251312000001E-2</c:v>
                </c:pt>
                <c:pt idx="253">
                  <c:v>-1.7150378849999999E-3</c:v>
                </c:pt>
                <c:pt idx="254">
                  <c:v>5.5128034170000006E-2</c:v>
                </c:pt>
                <c:pt idx="255">
                  <c:v>7.6356009708000008E-2</c:v>
                </c:pt>
                <c:pt idx="256">
                  <c:v>0.10103639964000001</c:v>
                </c:pt>
                <c:pt idx="257">
                  <c:v>9.3754008216000009E-2</c:v>
                </c:pt>
                <c:pt idx="258">
                  <c:v>9.1847346822000006E-2</c:v>
                </c:pt>
                <c:pt idx="259">
                  <c:v>8.8961874738000005E-2</c:v>
                </c:pt>
                <c:pt idx="260">
                  <c:v>8.8277455200000007E-2</c:v>
                </c:pt>
                <c:pt idx="261">
                  <c:v>0.11269237452000001</c:v>
                </c:pt>
                <c:pt idx="262">
                  <c:v>0.15966531504000001</c:v>
                </c:pt>
                <c:pt idx="263">
                  <c:v>0.20580055716000001</c:v>
                </c:pt>
                <c:pt idx="264">
                  <c:v>0.24900884118</c:v>
                </c:pt>
                <c:pt idx="265">
                  <c:v>0.23268369498000002</c:v>
                </c:pt>
                <c:pt idx="266">
                  <c:v>0.2349793875</c:v>
                </c:pt>
                <c:pt idx="267">
                  <c:v>0.2376819621</c:v>
                </c:pt>
                <c:pt idx="268">
                  <c:v>0.24543166956000001</c:v>
                </c:pt>
                <c:pt idx="269">
                  <c:v>0.26355487554000001</c:v>
                </c:pt>
                <c:pt idx="270">
                  <c:v>0.34357701246000005</c:v>
                </c:pt>
                <c:pt idx="271">
                  <c:v>0.40317127554000004</c:v>
                </c:pt>
                <c:pt idx="272">
                  <c:v>0.40066815294000002</c:v>
                </c:pt>
                <c:pt idx="273">
                  <c:v>0.37911337530000006</c:v>
                </c:pt>
                <c:pt idx="274">
                  <c:v>0.41426280126000004</c:v>
                </c:pt>
                <c:pt idx="275">
                  <c:v>0.41661633485999999</c:v>
                </c:pt>
                <c:pt idx="276">
                  <c:v>0.43509855444000001</c:v>
                </c:pt>
                <c:pt idx="277">
                  <c:v>0.52238074416000002</c:v>
                </c:pt>
                <c:pt idx="278">
                  <c:v>0.56218737431999999</c:v>
                </c:pt>
                <c:pt idx="279">
                  <c:v>0.57921558882000002</c:v>
                </c:pt>
                <c:pt idx="280">
                  <c:v>0.53644011564000005</c:v>
                </c:pt>
                <c:pt idx="281">
                  <c:v>0.51262355232000001</c:v>
                </c:pt>
                <c:pt idx="282">
                  <c:v>0.55270542624000008</c:v>
                </c:pt>
                <c:pt idx="283">
                  <c:v>0.64596020609999993</c:v>
                </c:pt>
                <c:pt idx="284">
                  <c:v>0.71868239982000004</c:v>
                </c:pt>
                <c:pt idx="285">
                  <c:v>0.73320051089999994</c:v>
                </c:pt>
                <c:pt idx="286">
                  <c:v>0.68618568546000003</c:v>
                </c:pt>
                <c:pt idx="287">
                  <c:v>0.63839399448000012</c:v>
                </c:pt>
                <c:pt idx="288">
                  <c:v>0.66564811302000004</c:v>
                </c:pt>
                <c:pt idx="289">
                  <c:v>0.81094490598000002</c:v>
                </c:pt>
                <c:pt idx="290">
                  <c:v>0.89311115190000012</c:v>
                </c:pt>
                <c:pt idx="291">
                  <c:v>0.89938491456000003</c:v>
                </c:pt>
                <c:pt idx="292">
                  <c:v>0.84937132830000006</c:v>
                </c:pt>
                <c:pt idx="293">
                  <c:v>0.73725935909999996</c:v>
                </c:pt>
                <c:pt idx="294">
                  <c:v>0.8408387717400001</c:v>
                </c:pt>
                <c:pt idx="295">
                  <c:v>1.0393144542000001</c:v>
                </c:pt>
                <c:pt idx="296">
                  <c:v>1.1196736649999999</c:v>
                </c:pt>
                <c:pt idx="297">
                  <c:v>1.1007656154000001</c:v>
                </c:pt>
                <c:pt idx="298">
                  <c:v>0.98771921358000003</c:v>
                </c:pt>
                <c:pt idx="299">
                  <c:v>0.92276068896000008</c:v>
                </c:pt>
                <c:pt idx="300">
                  <c:v>1.0239566501999999</c:v>
                </c:pt>
                <c:pt idx="301">
                  <c:v>1.165048995</c:v>
                </c:pt>
                <c:pt idx="302">
                  <c:v>1.2583227228</c:v>
                </c:pt>
                <c:pt idx="303">
                  <c:v>1.2547325868000001</c:v>
                </c:pt>
                <c:pt idx="304">
                  <c:v>1.1381927831999998</c:v>
                </c:pt>
                <c:pt idx="305">
                  <c:v>1.0559188332000002</c:v>
                </c:pt>
                <c:pt idx="306">
                  <c:v>1.2298110594</c:v>
                </c:pt>
                <c:pt idx="307">
                  <c:v>1.3234039103999999</c:v>
                </c:pt>
                <c:pt idx="308">
                  <c:v>1.4097466812000001</c:v>
                </c:pt>
                <c:pt idx="309">
                  <c:v>1.3864905780000001</c:v>
                </c:pt>
                <c:pt idx="310">
                  <c:v>1.2518305602000002</c:v>
                </c:pt>
                <c:pt idx="311">
                  <c:v>1.2140044884000001</c:v>
                </c:pt>
                <c:pt idx="312">
                  <c:v>1.3649298167999999</c:v>
                </c:pt>
                <c:pt idx="313">
                  <c:v>1.5152168988000001</c:v>
                </c:pt>
                <c:pt idx="314">
                  <c:v>1.6140154470000001</c:v>
                </c:pt>
                <c:pt idx="315">
                  <c:v>1.5998643276</c:v>
                </c:pt>
                <c:pt idx="316">
                  <c:v>1.4337108390000002</c:v>
                </c:pt>
                <c:pt idx="317">
                  <c:v>1.3419030834000001</c:v>
                </c:pt>
                <c:pt idx="318">
                  <c:v>1.455650559</c:v>
                </c:pt>
                <c:pt idx="319">
                  <c:v>1.6132176390000001</c:v>
                </c:pt>
                <c:pt idx="320">
                  <c:v>1.7049256686000001</c:v>
                </c:pt>
                <c:pt idx="321">
                  <c:v>1.7440481783999999</c:v>
                </c:pt>
                <c:pt idx="322">
                  <c:v>1.68836118</c:v>
                </c:pt>
                <c:pt idx="323">
                  <c:v>1.5607517904000001</c:v>
                </c:pt>
                <c:pt idx="324">
                  <c:v>1.5295475249999999</c:v>
                </c:pt>
                <c:pt idx="325">
                  <c:v>1.6589918730000002</c:v>
                </c:pt>
                <c:pt idx="326">
                  <c:v>1.8081819690000001</c:v>
                </c:pt>
                <c:pt idx="327">
                  <c:v>1.9060829831999999</c:v>
                </c:pt>
                <c:pt idx="328">
                  <c:v>1.9356118518000001</c:v>
                </c:pt>
                <c:pt idx="329">
                  <c:v>1.8683167470000002</c:v>
                </c:pt>
                <c:pt idx="330">
                  <c:v>1.7415849462000002</c:v>
                </c:pt>
                <c:pt idx="331">
                  <c:v>1.6706797602000001</c:v>
                </c:pt>
                <c:pt idx="332">
                  <c:v>1.7537016552000002</c:v>
                </c:pt>
                <c:pt idx="333">
                  <c:v>1.8663920352000001</c:v>
                </c:pt>
                <c:pt idx="334">
                  <c:v>1.9582596264000001</c:v>
                </c:pt>
                <c:pt idx="335">
                  <c:v>1.9606031874000001</c:v>
                </c:pt>
                <c:pt idx="336">
                  <c:v>1.970336445</c:v>
                </c:pt>
                <c:pt idx="337">
                  <c:v>3.1962183000000004</c:v>
                </c:pt>
                <c:pt idx="338">
                  <c:v>2.9544924486000004</c:v>
                </c:pt>
                <c:pt idx="339">
                  <c:v>2.7998972034</c:v>
                </c:pt>
                <c:pt idx="340">
                  <c:v>2.7815875098</c:v>
                </c:pt>
                <c:pt idx="341">
                  <c:v>2.8349309472000002</c:v>
                </c:pt>
                <c:pt idx="342">
                  <c:v>2.9158885140000002</c:v>
                </c:pt>
                <c:pt idx="343">
                  <c:v>2.9583418722000001</c:v>
                </c:pt>
                <c:pt idx="344">
                  <c:v>2.9778582504000002</c:v>
                </c:pt>
                <c:pt idx="345">
                  <c:v>2.9812389617999999</c:v>
                </c:pt>
                <c:pt idx="346">
                  <c:v>3.0027698051999998</c:v>
                </c:pt>
                <c:pt idx="347">
                  <c:v>3.0160134180000004</c:v>
                </c:pt>
                <c:pt idx="348">
                  <c:v>3.0183669516</c:v>
                </c:pt>
                <c:pt idx="349">
                  <c:v>3.0180378558000003</c:v>
                </c:pt>
              </c:numCache>
            </c:numRef>
          </c:yVal>
          <c:smooth val="0"/>
        </c:ser>
        <c:ser>
          <c:idx val="1"/>
          <c:order val="1"/>
          <c:marker>
            <c:symbol val="circle"/>
            <c:size val="2"/>
          </c:marker>
          <c:xVal>
            <c:numRef>
              <c:f>'8-MUMPs95.RS.P2.0deg.500.third.'!$E$68:$E$623</c:f>
              <c:numCache>
                <c:formatCode>General</c:formatCode>
                <c:ptCount val="556"/>
                <c:pt idx="98">
                  <c:v>320.70524211599997</c:v>
                </c:pt>
                <c:pt idx="99">
                  <c:v>322.68544584800003</c:v>
                </c:pt>
                <c:pt idx="100">
                  <c:v>324.66464081599997</c:v>
                </c:pt>
                <c:pt idx="101">
                  <c:v>326.64383578399998</c:v>
                </c:pt>
                <c:pt idx="102">
                  <c:v>328.62403951599993</c:v>
                </c:pt>
                <c:pt idx="103">
                  <c:v>330.60323448399998</c:v>
                </c:pt>
                <c:pt idx="104">
                  <c:v>332.58343821599993</c:v>
                </c:pt>
                <c:pt idx="105">
                  <c:v>334.56263318399999</c:v>
                </c:pt>
                <c:pt idx="106">
                  <c:v>336.54283691599994</c:v>
                </c:pt>
                <c:pt idx="107">
                  <c:v>338.522031884</c:v>
                </c:pt>
                <c:pt idx="108">
                  <c:v>340.50223561600001</c:v>
                </c:pt>
                <c:pt idx="109">
                  <c:v>342.48143058399995</c:v>
                </c:pt>
                <c:pt idx="110">
                  <c:v>344.46163431600007</c:v>
                </c:pt>
                <c:pt idx="111">
                  <c:v>346.44082928399996</c:v>
                </c:pt>
                <c:pt idx="112">
                  <c:v>348.42103301600002</c:v>
                </c:pt>
                <c:pt idx="113">
                  <c:v>350.40022798399997</c:v>
                </c:pt>
                <c:pt idx="114">
                  <c:v>352.37942295200003</c:v>
                </c:pt>
                <c:pt idx="115">
                  <c:v>354.35962668399998</c:v>
                </c:pt>
                <c:pt idx="116">
                  <c:v>356.33882165199998</c:v>
                </c:pt>
                <c:pt idx="117">
                  <c:v>358.31902538400004</c:v>
                </c:pt>
                <c:pt idx="118">
                  <c:v>360.29822035199999</c:v>
                </c:pt>
                <c:pt idx="119">
                  <c:v>362.27842408399999</c:v>
                </c:pt>
                <c:pt idx="120">
                  <c:v>364.257619052</c:v>
                </c:pt>
                <c:pt idx="121">
                  <c:v>366.237822784</c:v>
                </c:pt>
                <c:pt idx="122">
                  <c:v>368.217017752</c:v>
                </c:pt>
                <c:pt idx="123">
                  <c:v>370.19722148400001</c:v>
                </c:pt>
                <c:pt idx="124">
                  <c:v>372.17641645200001</c:v>
                </c:pt>
                <c:pt idx="125">
                  <c:v>374.15662018400002</c:v>
                </c:pt>
                <c:pt idx="126">
                  <c:v>376.13581515200002</c:v>
                </c:pt>
                <c:pt idx="127">
                  <c:v>378.11601888400003</c:v>
                </c:pt>
                <c:pt idx="128">
                  <c:v>380.09521385200003</c:v>
                </c:pt>
                <c:pt idx="129">
                  <c:v>382.07440881999997</c:v>
                </c:pt>
                <c:pt idx="130">
                  <c:v>384.05461255200004</c:v>
                </c:pt>
                <c:pt idx="131">
                  <c:v>386.03380751999998</c:v>
                </c:pt>
                <c:pt idx="132">
                  <c:v>388.01401125200005</c:v>
                </c:pt>
                <c:pt idx="133">
                  <c:v>389.99320621999993</c:v>
                </c:pt>
                <c:pt idx="134">
                  <c:v>391.97340995200005</c:v>
                </c:pt>
                <c:pt idx="135">
                  <c:v>393.95260491999994</c:v>
                </c:pt>
                <c:pt idx="136">
                  <c:v>395.93280865200001</c:v>
                </c:pt>
                <c:pt idx="137">
                  <c:v>397.91200362000001</c:v>
                </c:pt>
                <c:pt idx="138">
                  <c:v>399.89220735200001</c:v>
                </c:pt>
                <c:pt idx="139">
                  <c:v>401.87140232000002</c:v>
                </c:pt>
                <c:pt idx="140">
                  <c:v>403.85160605200002</c:v>
                </c:pt>
                <c:pt idx="141">
                  <c:v>405.83080102000002</c:v>
                </c:pt>
                <c:pt idx="142">
                  <c:v>407.80999598799997</c:v>
                </c:pt>
                <c:pt idx="143">
                  <c:v>409.79019971999998</c:v>
                </c:pt>
                <c:pt idx="144">
                  <c:v>411.76939468799998</c:v>
                </c:pt>
                <c:pt idx="145">
                  <c:v>413.74959841999998</c:v>
                </c:pt>
                <c:pt idx="146">
                  <c:v>415.72879338800004</c:v>
                </c:pt>
                <c:pt idx="147">
                  <c:v>417.70899711999999</c:v>
                </c:pt>
                <c:pt idx="148">
                  <c:v>419.68819208800005</c:v>
                </c:pt>
                <c:pt idx="149">
                  <c:v>421.66839582</c:v>
                </c:pt>
                <c:pt idx="150">
                  <c:v>423.647590788</c:v>
                </c:pt>
                <c:pt idx="151">
                  <c:v>425.62779452000001</c:v>
                </c:pt>
                <c:pt idx="152">
                  <c:v>427.60698948800001</c:v>
                </c:pt>
                <c:pt idx="153">
                  <c:v>429.58719321999996</c:v>
                </c:pt>
                <c:pt idx="154">
                  <c:v>431.56638818800002</c:v>
                </c:pt>
                <c:pt idx="155">
                  <c:v>433.54558315600002</c:v>
                </c:pt>
                <c:pt idx="156">
                  <c:v>435.52578688800003</c:v>
                </c:pt>
                <c:pt idx="157">
                  <c:v>437.50498185599997</c:v>
                </c:pt>
                <c:pt idx="158">
                  <c:v>439.48518558800004</c:v>
                </c:pt>
                <c:pt idx="159">
                  <c:v>441.46438055599998</c:v>
                </c:pt>
                <c:pt idx="160">
                  <c:v>443.44458428799999</c:v>
                </c:pt>
                <c:pt idx="161">
                  <c:v>445.42377925599999</c:v>
                </c:pt>
                <c:pt idx="162">
                  <c:v>447.403982988</c:v>
                </c:pt>
                <c:pt idx="163">
                  <c:v>449.38317795600005</c:v>
                </c:pt>
                <c:pt idx="164">
                  <c:v>451.363381688</c:v>
                </c:pt>
                <c:pt idx="165">
                  <c:v>453.34257665600006</c:v>
                </c:pt>
                <c:pt idx="166">
                  <c:v>455.32278038800001</c:v>
                </c:pt>
                <c:pt idx="167">
                  <c:v>457.30197535600001</c:v>
                </c:pt>
                <c:pt idx="168">
                  <c:v>459.28217908799996</c:v>
                </c:pt>
                <c:pt idx="169">
                  <c:v>461.26137405600002</c:v>
                </c:pt>
                <c:pt idx="170">
                  <c:v>463.24056902400002</c:v>
                </c:pt>
                <c:pt idx="171">
                  <c:v>465.22077275600003</c:v>
                </c:pt>
                <c:pt idx="172">
                  <c:v>467.19996772400003</c:v>
                </c:pt>
                <c:pt idx="173">
                  <c:v>469.18017145600004</c:v>
                </c:pt>
                <c:pt idx="174">
                  <c:v>471.15936642399998</c:v>
                </c:pt>
                <c:pt idx="175">
                  <c:v>473.13957015599999</c:v>
                </c:pt>
                <c:pt idx="176">
                  <c:v>475.11876512399999</c:v>
                </c:pt>
                <c:pt idx="177">
                  <c:v>477.098968856</c:v>
                </c:pt>
                <c:pt idx="178">
                  <c:v>479.078163824</c:v>
                </c:pt>
                <c:pt idx="179">
                  <c:v>481.05836755600001</c:v>
                </c:pt>
                <c:pt idx="180">
                  <c:v>483.03756252400001</c:v>
                </c:pt>
                <c:pt idx="181">
                  <c:v>485.01776625600002</c:v>
                </c:pt>
                <c:pt idx="182">
                  <c:v>486.99696122399996</c:v>
                </c:pt>
                <c:pt idx="183">
                  <c:v>488.97615619200002</c:v>
                </c:pt>
                <c:pt idx="184">
                  <c:v>490.95635992399997</c:v>
                </c:pt>
                <c:pt idx="185">
                  <c:v>492.93555489200003</c:v>
                </c:pt>
                <c:pt idx="186">
                  <c:v>494.91575862399998</c:v>
                </c:pt>
                <c:pt idx="187">
                  <c:v>496.89495359200004</c:v>
                </c:pt>
                <c:pt idx="188">
                  <c:v>498.87515732399999</c:v>
                </c:pt>
                <c:pt idx="189">
                  <c:v>500.85435229200004</c:v>
                </c:pt>
                <c:pt idx="190">
                  <c:v>502.83455602399999</c:v>
                </c:pt>
                <c:pt idx="191">
                  <c:v>504.813750992</c:v>
                </c:pt>
                <c:pt idx="192">
                  <c:v>506.793954724</c:v>
                </c:pt>
                <c:pt idx="193">
                  <c:v>508.77314969200006</c:v>
                </c:pt>
                <c:pt idx="194">
                  <c:v>510.75335342399995</c:v>
                </c:pt>
                <c:pt idx="195">
                  <c:v>512.73254839200001</c:v>
                </c:pt>
                <c:pt idx="196">
                  <c:v>514.71174336000001</c:v>
                </c:pt>
                <c:pt idx="197">
                  <c:v>516.69194709199996</c:v>
                </c:pt>
                <c:pt idx="198">
                  <c:v>518.67114205999997</c:v>
                </c:pt>
                <c:pt idx="199">
                  <c:v>520.65134579200003</c:v>
                </c:pt>
                <c:pt idx="200">
                  <c:v>522.63054076000003</c:v>
                </c:pt>
                <c:pt idx="201">
                  <c:v>524.61074449199998</c:v>
                </c:pt>
                <c:pt idx="202">
                  <c:v>526.58993945999998</c:v>
                </c:pt>
                <c:pt idx="203">
                  <c:v>528.57014319200005</c:v>
                </c:pt>
                <c:pt idx="204">
                  <c:v>530.54933815999993</c:v>
                </c:pt>
                <c:pt idx="205">
                  <c:v>532.529541892</c:v>
                </c:pt>
                <c:pt idx="206">
                  <c:v>534.50873686</c:v>
                </c:pt>
                <c:pt idx="207">
                  <c:v>536.48894059199995</c:v>
                </c:pt>
                <c:pt idx="208">
                  <c:v>538.46813555999995</c:v>
                </c:pt>
                <c:pt idx="209">
                  <c:v>540.44833929200001</c:v>
                </c:pt>
                <c:pt idx="210">
                  <c:v>542.42753426000002</c:v>
                </c:pt>
                <c:pt idx="211">
                  <c:v>544.4067292279999</c:v>
                </c:pt>
                <c:pt idx="212">
                  <c:v>546.38693295999997</c:v>
                </c:pt>
                <c:pt idx="213">
                  <c:v>548.36612792799997</c:v>
                </c:pt>
                <c:pt idx="214">
                  <c:v>550.34633165999992</c:v>
                </c:pt>
                <c:pt idx="215">
                  <c:v>552.32552662799992</c:v>
                </c:pt>
                <c:pt idx="216">
                  <c:v>554.30573035999998</c:v>
                </c:pt>
                <c:pt idx="217">
                  <c:v>556.28492532799999</c:v>
                </c:pt>
                <c:pt idx="218">
                  <c:v>558.26512905999994</c:v>
                </c:pt>
                <c:pt idx="219">
                  <c:v>560.24432402799994</c:v>
                </c:pt>
                <c:pt idx="220">
                  <c:v>562.22452775999989</c:v>
                </c:pt>
                <c:pt idx="221">
                  <c:v>564.203722728</c:v>
                </c:pt>
                <c:pt idx="222">
                  <c:v>566.18392645999995</c:v>
                </c:pt>
                <c:pt idx="223">
                  <c:v>568.16312142800007</c:v>
                </c:pt>
                <c:pt idx="224">
                  <c:v>570.14231639600007</c:v>
                </c:pt>
                <c:pt idx="225">
                  <c:v>572.12252012800002</c:v>
                </c:pt>
                <c:pt idx="226">
                  <c:v>574.10171509600002</c:v>
                </c:pt>
                <c:pt idx="227">
                  <c:v>576.08191882799997</c:v>
                </c:pt>
                <c:pt idx="228">
                  <c:v>578.06111379599997</c:v>
                </c:pt>
                <c:pt idx="229">
                  <c:v>580.04131752800004</c:v>
                </c:pt>
                <c:pt idx="230">
                  <c:v>582.02051249600004</c:v>
                </c:pt>
                <c:pt idx="231">
                  <c:v>584.00071622799999</c:v>
                </c:pt>
                <c:pt idx="232">
                  <c:v>585.97991119599999</c:v>
                </c:pt>
                <c:pt idx="233">
                  <c:v>587.96011492800005</c:v>
                </c:pt>
                <c:pt idx="234">
                  <c:v>589.93930989599994</c:v>
                </c:pt>
                <c:pt idx="235">
                  <c:v>591.919513628</c:v>
                </c:pt>
                <c:pt idx="236">
                  <c:v>593.89870859600001</c:v>
                </c:pt>
                <c:pt idx="237">
                  <c:v>595.87790356400001</c:v>
                </c:pt>
                <c:pt idx="238">
                  <c:v>597.85810729599996</c:v>
                </c:pt>
                <c:pt idx="239">
                  <c:v>599.83730226399996</c:v>
                </c:pt>
                <c:pt idx="240">
                  <c:v>601.81750599600002</c:v>
                </c:pt>
                <c:pt idx="241">
                  <c:v>603.79670096400002</c:v>
                </c:pt>
                <c:pt idx="242">
                  <c:v>605.77690469599997</c:v>
                </c:pt>
                <c:pt idx="243">
                  <c:v>607.75609966399998</c:v>
                </c:pt>
                <c:pt idx="244">
                  <c:v>609.73630339599993</c:v>
                </c:pt>
                <c:pt idx="245">
                  <c:v>611.71549836399993</c:v>
                </c:pt>
                <c:pt idx="246">
                  <c:v>613.69570209599999</c:v>
                </c:pt>
                <c:pt idx="247">
                  <c:v>615.67489706399999</c:v>
                </c:pt>
                <c:pt idx="248">
                  <c:v>617.65510079599994</c:v>
                </c:pt>
                <c:pt idx="249">
                  <c:v>619.63429576399994</c:v>
                </c:pt>
                <c:pt idx="250">
                  <c:v>621.61349073199995</c:v>
                </c:pt>
                <c:pt idx="251">
                  <c:v>623.5936944639999</c:v>
                </c:pt>
                <c:pt idx="252">
                  <c:v>625.5728894319999</c:v>
                </c:pt>
                <c:pt idx="253">
                  <c:v>627.55309316399996</c:v>
                </c:pt>
                <c:pt idx="254">
                  <c:v>629.53228813199996</c:v>
                </c:pt>
                <c:pt idx="255">
                  <c:v>631.51249186399991</c:v>
                </c:pt>
                <c:pt idx="256">
                  <c:v>633.49168683199991</c:v>
                </c:pt>
                <c:pt idx="257">
                  <c:v>635.47189056399998</c:v>
                </c:pt>
                <c:pt idx="258">
                  <c:v>637.45108553199987</c:v>
                </c:pt>
                <c:pt idx="259">
                  <c:v>639.43128926399993</c:v>
                </c:pt>
                <c:pt idx="260">
                  <c:v>641.41048423199993</c:v>
                </c:pt>
                <c:pt idx="261">
                  <c:v>643.39068796399988</c:v>
                </c:pt>
                <c:pt idx="262">
                  <c:v>645.36988293199988</c:v>
                </c:pt>
                <c:pt idx="263">
                  <c:v>647.35008666399995</c:v>
                </c:pt>
                <c:pt idx="264">
                  <c:v>649.32928163199995</c:v>
                </c:pt>
                <c:pt idx="265">
                  <c:v>651.30847659999995</c:v>
                </c:pt>
                <c:pt idx="266">
                  <c:v>653.2886803319999</c:v>
                </c:pt>
                <c:pt idx="267">
                  <c:v>655.26787530000001</c:v>
                </c:pt>
                <c:pt idx="268">
                  <c:v>657.24807903199985</c:v>
                </c:pt>
                <c:pt idx="269">
                  <c:v>659.22727399999997</c:v>
                </c:pt>
                <c:pt idx="270">
                  <c:v>661.20747773199992</c:v>
                </c:pt>
                <c:pt idx="271">
                  <c:v>663.18667270000003</c:v>
                </c:pt>
                <c:pt idx="272">
                  <c:v>665.16687643199987</c:v>
                </c:pt>
                <c:pt idx="273">
                  <c:v>667.14607139999998</c:v>
                </c:pt>
                <c:pt idx="274">
                  <c:v>669.12627513199993</c:v>
                </c:pt>
                <c:pt idx="275">
                  <c:v>671.10547009999993</c:v>
                </c:pt>
                <c:pt idx="276">
                  <c:v>673.08567383199988</c:v>
                </c:pt>
                <c:pt idx="277">
                  <c:v>675.0648688</c:v>
                </c:pt>
                <c:pt idx="278">
                  <c:v>677.044063768</c:v>
                </c:pt>
                <c:pt idx="279">
                  <c:v>679.02426749999995</c:v>
                </c:pt>
                <c:pt idx="280">
                  <c:v>681.00346246799995</c:v>
                </c:pt>
                <c:pt idx="281">
                  <c:v>682.98366620000002</c:v>
                </c:pt>
                <c:pt idx="282">
                  <c:v>684.9628611679999</c:v>
                </c:pt>
                <c:pt idx="283">
                  <c:v>686.94306489999997</c:v>
                </c:pt>
                <c:pt idx="284">
                  <c:v>688.92225986799997</c:v>
                </c:pt>
                <c:pt idx="285">
                  <c:v>690.90246359999992</c:v>
                </c:pt>
                <c:pt idx="286">
                  <c:v>692.88165856799992</c:v>
                </c:pt>
                <c:pt idx="287">
                  <c:v>694.8618623000001</c:v>
                </c:pt>
                <c:pt idx="288">
                  <c:v>696.84105726799999</c:v>
                </c:pt>
                <c:pt idx="289">
                  <c:v>698.82126100000005</c:v>
                </c:pt>
                <c:pt idx="290">
                  <c:v>700.80045596799994</c:v>
                </c:pt>
                <c:pt idx="291">
                  <c:v>702.77965093599994</c:v>
                </c:pt>
                <c:pt idx="292">
                  <c:v>704.75985466799989</c:v>
                </c:pt>
                <c:pt idx="293">
                  <c:v>706.73904963599989</c:v>
                </c:pt>
                <c:pt idx="294">
                  <c:v>708.71925336799995</c:v>
                </c:pt>
                <c:pt idx="295">
                  <c:v>710.69844833599996</c:v>
                </c:pt>
                <c:pt idx="296">
                  <c:v>712.67865206799991</c:v>
                </c:pt>
                <c:pt idx="297">
                  <c:v>714.65784703599991</c:v>
                </c:pt>
                <c:pt idx="298">
                  <c:v>716.63805076800008</c:v>
                </c:pt>
                <c:pt idx="299">
                  <c:v>718.61724573599986</c:v>
                </c:pt>
                <c:pt idx="300">
                  <c:v>720.59744946800004</c:v>
                </c:pt>
                <c:pt idx="301">
                  <c:v>722.57664443599992</c:v>
                </c:pt>
                <c:pt idx="302">
                  <c:v>724.55684816799999</c:v>
                </c:pt>
                <c:pt idx="303">
                  <c:v>726.53604313599988</c:v>
                </c:pt>
                <c:pt idx="304">
                  <c:v>728.51624686800005</c:v>
                </c:pt>
                <c:pt idx="305">
                  <c:v>730.49544183599994</c:v>
                </c:pt>
                <c:pt idx="306">
                  <c:v>732.47463680399994</c:v>
                </c:pt>
                <c:pt idx="307">
                  <c:v>734.45484053600001</c:v>
                </c:pt>
                <c:pt idx="308">
                  <c:v>736.43403550400001</c:v>
                </c:pt>
                <c:pt idx="309">
                  <c:v>738.41423923599996</c:v>
                </c:pt>
                <c:pt idx="310">
                  <c:v>740.39343420399996</c:v>
                </c:pt>
                <c:pt idx="311">
                  <c:v>742.37363793600002</c:v>
                </c:pt>
                <c:pt idx="312">
                  <c:v>744.35283290400002</c:v>
                </c:pt>
                <c:pt idx="313">
                  <c:v>746.33303663599997</c:v>
                </c:pt>
                <c:pt idx="314">
                  <c:v>748.31223160399998</c:v>
                </c:pt>
                <c:pt idx="315">
                  <c:v>750.29243533600004</c:v>
                </c:pt>
                <c:pt idx="316">
                  <c:v>752.27163030400004</c:v>
                </c:pt>
                <c:pt idx="317">
                  <c:v>754.25183403599999</c:v>
                </c:pt>
                <c:pt idx="318">
                  <c:v>756.23102900400011</c:v>
                </c:pt>
                <c:pt idx="319">
                  <c:v>758.21022397199999</c:v>
                </c:pt>
                <c:pt idx="320">
                  <c:v>760.19042770400006</c:v>
                </c:pt>
                <c:pt idx="321">
                  <c:v>762.16962267199995</c:v>
                </c:pt>
                <c:pt idx="322">
                  <c:v>764.14982640400012</c:v>
                </c:pt>
                <c:pt idx="323">
                  <c:v>766.1290213719999</c:v>
                </c:pt>
                <c:pt idx="324">
                  <c:v>768.10922510400007</c:v>
                </c:pt>
                <c:pt idx="325">
                  <c:v>770.08842007200008</c:v>
                </c:pt>
                <c:pt idx="326">
                  <c:v>772.06862380400003</c:v>
                </c:pt>
                <c:pt idx="327">
                  <c:v>774.04781877200003</c:v>
                </c:pt>
                <c:pt idx="328">
                  <c:v>776.02802250400009</c:v>
                </c:pt>
                <c:pt idx="329">
                  <c:v>778.00721747200009</c:v>
                </c:pt>
                <c:pt idx="330">
                  <c:v>779.98742120400004</c:v>
                </c:pt>
                <c:pt idx="331">
                  <c:v>781.96661617200004</c:v>
                </c:pt>
                <c:pt idx="332">
                  <c:v>783.94581113999993</c:v>
                </c:pt>
                <c:pt idx="333">
                  <c:v>785.926014872</c:v>
                </c:pt>
                <c:pt idx="334">
                  <c:v>787.90520983999988</c:v>
                </c:pt>
                <c:pt idx="335">
                  <c:v>789.88541357200006</c:v>
                </c:pt>
                <c:pt idx="336">
                  <c:v>791.86460854000006</c:v>
                </c:pt>
                <c:pt idx="337">
                  <c:v>793.84481227200001</c:v>
                </c:pt>
                <c:pt idx="338">
                  <c:v>795.82400724000001</c:v>
                </c:pt>
                <c:pt idx="339">
                  <c:v>797.80421097200008</c:v>
                </c:pt>
                <c:pt idx="340">
                  <c:v>799.78340593999997</c:v>
                </c:pt>
                <c:pt idx="341">
                  <c:v>801.76360967200003</c:v>
                </c:pt>
                <c:pt idx="342">
                  <c:v>803.74280464000003</c:v>
                </c:pt>
                <c:pt idx="343">
                  <c:v>805.72300837199998</c:v>
                </c:pt>
                <c:pt idx="344">
                  <c:v>807.70220333999998</c:v>
                </c:pt>
                <c:pt idx="345">
                  <c:v>809.68240707200005</c:v>
                </c:pt>
                <c:pt idx="346">
                  <c:v>811.66160204000005</c:v>
                </c:pt>
                <c:pt idx="347">
                  <c:v>813.64079700800005</c:v>
                </c:pt>
                <c:pt idx="348">
                  <c:v>815.62100074</c:v>
                </c:pt>
                <c:pt idx="349">
                  <c:v>817.60019570800011</c:v>
                </c:pt>
              </c:numCache>
            </c:numRef>
          </c:xVal>
          <c:yVal>
            <c:numRef>
              <c:f>'8-MUMPs95.RS.P2.0deg.500.third.'!$G$68:$G$623</c:f>
              <c:numCache>
                <c:formatCode>General</c:formatCode>
                <c:ptCount val="556"/>
                <c:pt idx="98">
                  <c:v>1.9974661273947321</c:v>
                </c:pt>
                <c:pt idx="99">
                  <c:v>1.9914965400357385</c:v>
                </c:pt>
                <c:pt idx="100">
                  <c:v>1.984964890998381</c:v>
                </c:pt>
                <c:pt idx="101">
                  <c:v>1.977871675244762</c:v>
                </c:pt>
                <c:pt idx="102">
                  <c:v>1.970216534640308</c:v>
                </c:pt>
                <c:pt idx="103">
                  <c:v>1.9620112431420376</c:v>
                </c:pt>
                <c:pt idx="104">
                  <c:v>1.9532517017701776</c:v>
                </c:pt>
                <c:pt idx="105">
                  <c:v>1.9439513831007322</c:v>
                </c:pt>
                <c:pt idx="106">
                  <c:v>1.9341056411295807</c:v>
                </c:pt>
                <c:pt idx="107">
                  <c:v>1.9237296190590198</c:v>
                </c:pt>
                <c:pt idx="108">
                  <c:v>1.9128181335138335</c:v>
                </c:pt>
                <c:pt idx="109">
                  <c:v>1.9013879668587692</c:v>
                </c:pt>
                <c:pt idx="110">
                  <c:v>1.88943340911729</c:v>
                </c:pt>
                <c:pt idx="111">
                  <c:v>1.8769728469469791</c:v>
                </c:pt>
                <c:pt idx="112">
                  <c:v>1.8640000556339014</c:v>
                </c:pt>
                <c:pt idx="113">
                  <c:v>1.8505349879255311</c:v>
                </c:pt>
                <c:pt idx="114">
                  <c:v>1.8365781550431985</c:v>
                </c:pt>
                <c:pt idx="115">
                  <c:v>1.8221293211496568</c:v>
                </c:pt>
                <c:pt idx="116">
                  <c:v>1.8072107092134986</c:v>
                </c:pt>
                <c:pt idx="117">
                  <c:v>1.7918148665941205</c:v>
                </c:pt>
                <c:pt idx="118">
                  <c:v>1.7759654728029322</c:v>
                </c:pt>
                <c:pt idx="119">
                  <c:v>1.7596546102242576</c:v>
                </c:pt>
                <c:pt idx="120">
                  <c:v>1.7429073657121312</c:v>
                </c:pt>
                <c:pt idx="121">
                  <c:v>1.7257153731266603</c:v>
                </c:pt>
                <c:pt idx="122">
                  <c:v>1.7081050745402035</c:v>
                </c:pt>
                <c:pt idx="123">
                  <c:v>1.6900676726714299</c:v>
                </c:pt>
                <c:pt idx="124">
                  <c:v>1.6716309098709119</c:v>
                </c:pt>
                <c:pt idx="125">
                  <c:v>1.6527855759944605</c:v>
                </c:pt>
                <c:pt idx="126">
                  <c:v>1.6335606560290985</c:v>
                </c:pt>
                <c:pt idx="127">
                  <c:v>1.6139465461041871</c:v>
                </c:pt>
                <c:pt idx="128">
                  <c:v>1.5939734136195383</c:v>
                </c:pt>
                <c:pt idx="129">
                  <c:v>1.5736417332970445</c:v>
                </c:pt>
                <c:pt idx="130">
                  <c:v>1.5529514351753757</c:v>
                </c:pt>
                <c:pt idx="131">
                  <c:v>1.531934341881104</c:v>
                </c:pt>
                <c:pt idx="132">
                  <c:v>1.5105799542576352</c:v>
                </c:pt>
                <c:pt idx="133">
                  <c:v>1.4889211163316258</c:v>
                </c:pt>
                <c:pt idx="134">
                  <c:v>1.4669470083608842</c:v>
                </c:pt>
                <c:pt idx="135">
                  <c:v>1.4446914275303588</c:v>
                </c:pt>
                <c:pt idx="136">
                  <c:v>1.4221432559930198</c:v>
                </c:pt>
                <c:pt idx="137">
                  <c:v>1.399337173869883</c:v>
                </c:pt>
                <c:pt idx="138">
                  <c:v>1.3762617883092296</c:v>
                </c:pt>
                <c:pt idx="139">
                  <c:v>1.3529525903113995</c:v>
                </c:pt>
                <c:pt idx="140">
                  <c:v>1.3293979356915195</c:v>
                </c:pt>
                <c:pt idx="141">
                  <c:v>1.3056340525877033</c:v>
                </c:pt>
                <c:pt idx="142">
                  <c:v>1.2816613393178258</c:v>
                </c:pt>
                <c:pt idx="143">
                  <c:v>1.2574798769581657</c:v>
                </c:pt>
                <c:pt idx="144">
                  <c:v>1.2331268577058614</c:v>
                </c:pt>
                <c:pt idx="145">
                  <c:v>1.2085901159317738</c:v>
                </c:pt>
                <c:pt idx="146">
                  <c:v>1.1839073902690593</c:v>
                </c:pt>
                <c:pt idx="147">
                  <c:v>1.1590663503826821</c:v>
                </c:pt>
                <c:pt idx="148">
                  <c:v>1.1341052029302365</c:v>
                </c:pt>
                <c:pt idx="149">
                  <c:v>1.1090114784901866</c:v>
                </c:pt>
                <c:pt idx="150">
                  <c:v>1.0838237723605491</c:v>
                </c:pt>
                <c:pt idx="151">
                  <c:v>1.0585295019416698</c:v>
                </c:pt>
                <c:pt idx="152">
                  <c:v>1.0331675709804722</c:v>
                </c:pt>
                <c:pt idx="153">
                  <c:v>1.0077253098427266</c:v>
                </c:pt>
                <c:pt idx="154">
                  <c:v>0.98224184989186147</c:v>
                </c:pt>
                <c:pt idx="155">
                  <c:v>0.95671747832579512</c:v>
                </c:pt>
                <c:pt idx="156">
                  <c:v>0.93115242019210154</c:v>
                </c:pt>
                <c:pt idx="157">
                  <c:v>0.90558599572161891</c:v>
                </c:pt>
                <c:pt idx="158">
                  <c:v>0.88000543312472379</c:v>
                </c:pt>
                <c:pt idx="159">
                  <c:v>0.85445007647883064</c:v>
                </c:pt>
                <c:pt idx="160">
                  <c:v>0.82890715952328398</c:v>
                </c:pt>
                <c:pt idx="161">
                  <c:v>0.80341596843477503</c:v>
                </c:pt>
                <c:pt idx="162">
                  <c:v>0.77796376900676001</c:v>
                </c:pt>
                <c:pt idx="163">
                  <c:v>0.752589707888216</c:v>
                </c:pt>
                <c:pt idx="164">
                  <c:v>0.72728110938525425</c:v>
                </c:pt>
                <c:pt idx="165">
                  <c:v>0.70207689928204631</c:v>
                </c:pt>
                <c:pt idx="166">
                  <c:v>0.67696448673432608</c:v>
                </c:pt>
                <c:pt idx="167">
                  <c:v>0.65198249578327694</c:v>
                </c:pt>
                <c:pt idx="168">
                  <c:v>0.62711844659492422</c:v>
                </c:pt>
                <c:pt idx="169">
                  <c:v>0.60241058121622371</c:v>
                </c:pt>
                <c:pt idx="170">
                  <c:v>0.57785902826073632</c:v>
                </c:pt>
                <c:pt idx="171">
                  <c:v>0.55346415380197689</c:v>
                </c:pt>
                <c:pt idx="172">
                  <c:v>0.52926347827467102</c:v>
                </c:pt>
                <c:pt idx="173">
                  <c:v>0.505244912153477</c:v>
                </c:pt>
                <c:pt idx="174">
                  <c:v>0.48144539709365564</c:v>
                </c:pt>
                <c:pt idx="175">
                  <c:v>0.45785304397086612</c:v>
                </c:pt>
                <c:pt idx="176">
                  <c:v>0.43450413890524708</c:v>
                </c:pt>
                <c:pt idx="177">
                  <c:v>0.4113870178761333</c:v>
                </c:pt>
                <c:pt idx="178">
                  <c:v>0.38853723607492596</c:v>
                </c:pt>
                <c:pt idx="179">
                  <c:v>0.36594337881959271</c:v>
                </c:pt>
                <c:pt idx="180">
                  <c:v>0.34364019649787503</c:v>
                </c:pt>
                <c:pt idx="181">
                  <c:v>0.32161654748326773</c:v>
                </c:pt>
                <c:pt idx="182">
                  <c:v>0.29990630515711247</c:v>
                </c:pt>
                <c:pt idx="183">
                  <c:v>0.27850944793322907</c:v>
                </c:pt>
                <c:pt idx="184">
                  <c:v>0.25742643030028911</c:v>
                </c:pt>
                <c:pt idx="185">
                  <c:v>0.23668967890546422</c:v>
                </c:pt>
                <c:pt idx="186">
                  <c:v>0.21628883463786353</c:v>
                </c:pt>
                <c:pt idx="187">
                  <c:v>0.19625527493076356</c:v>
                </c:pt>
                <c:pt idx="188">
                  <c:v>0.17657899195494386</c:v>
                </c:pt>
                <c:pt idx="189">
                  <c:v>0.15729024873521391</c:v>
                </c:pt>
                <c:pt idx="190">
                  <c:v>0.13837940951782701</c:v>
                </c:pt>
                <c:pt idx="191">
                  <c:v>0.11987556004001942</c:v>
                </c:pt>
                <c:pt idx="192">
                  <c:v>0.10176945664423576</c:v>
                </c:pt>
                <c:pt idx="193">
                  <c:v>8.408894734714667E-2</c:v>
                </c:pt>
                <c:pt idx="194">
                  <c:v>6.6825199793435486E-2</c:v>
                </c:pt>
                <c:pt idx="195">
                  <c:v>5.0004766417886648E-2</c:v>
                </c:pt>
                <c:pt idx="196">
                  <c:v>3.3627477315960608E-2</c:v>
                </c:pt>
                <c:pt idx="197">
                  <c:v>1.7693835779899469E-2</c:v>
                </c:pt>
                <c:pt idx="198">
                  <c:v>2.228348480486364E-3</c:v>
                </c:pt>
                <c:pt idx="199">
                  <c:v>-1.2776710416228854E-2</c:v>
                </c:pt>
                <c:pt idx="200">
                  <c:v>-2.7298262442109644E-2</c:v>
                </c:pt>
                <c:pt idx="201">
                  <c:v>-4.1343561885202718E-2</c:v>
                </c:pt>
                <c:pt idx="202">
                  <c:v>-5.4891006431389888E-2</c:v>
                </c:pt>
                <c:pt idx="203">
                  <c:v>-6.7947363750192613E-2</c:v>
                </c:pt>
                <c:pt idx="204">
                  <c:v>-8.0492552565791131E-2</c:v>
                </c:pt>
                <c:pt idx="205">
                  <c:v>-9.2532839867633943E-2</c:v>
                </c:pt>
                <c:pt idx="206">
                  <c:v>-0.10404970714214556</c:v>
                </c:pt>
                <c:pt idx="207">
                  <c:v>-0.11504890767743636</c:v>
                </c:pt>
                <c:pt idx="208">
                  <c:v>-0.12551352419908479</c:v>
                </c:pt>
                <c:pt idx="209">
                  <c:v>-0.13544878433995078</c:v>
                </c:pt>
                <c:pt idx="210">
                  <c:v>-0.14483940721468969</c:v>
                </c:pt>
                <c:pt idx="211">
                  <c:v>-0.15368571469600978</c:v>
                </c:pt>
                <c:pt idx="212">
                  <c:v>-0.1619872017670656</c:v>
                </c:pt>
                <c:pt idx="213">
                  <c:v>-0.16973110036035455</c:v>
                </c:pt>
                <c:pt idx="214">
                  <c:v>-0.17692127896534027</c:v>
                </c:pt>
                <c:pt idx="215">
                  <c:v>-0.18354667875786412</c:v>
                </c:pt>
                <c:pt idx="216">
                  <c:v>-0.18961060947771458</c:v>
                </c:pt>
                <c:pt idx="217">
                  <c:v>-0.19510374452158552</c:v>
                </c:pt>
                <c:pt idx="218">
                  <c:v>-0.20002882800276667</c:v>
                </c:pt>
                <c:pt idx="219">
                  <c:v>-0.20437828491718935</c:v>
                </c:pt>
                <c:pt idx="220">
                  <c:v>-0.20815428805005243</c:v>
                </c:pt>
                <c:pt idx="221">
                  <c:v>-0.21135102973551612</c:v>
                </c:pt>
                <c:pt idx="222">
                  <c:v>-0.21397010691617635</c:v>
                </c:pt>
                <c:pt idx="223">
                  <c:v>-0.21600749133132013</c:v>
                </c:pt>
                <c:pt idx="224">
                  <c:v>-0.21746360695264588</c:v>
                </c:pt>
                <c:pt idx="225">
                  <c:v>-0.21833799472502569</c:v>
                </c:pt>
                <c:pt idx="226">
                  <c:v>-0.21862930980000006</c:v>
                </c:pt>
              </c:numCache>
            </c:numRef>
          </c:yVal>
          <c:smooth val="0"/>
        </c:ser>
        <c:ser>
          <c:idx val="2"/>
          <c:order val="2"/>
          <c:marker>
            <c:symbol val="circle"/>
            <c:size val="2"/>
          </c:marker>
          <c:xVal>
            <c:numRef>
              <c:f>'8-MUMPs95.RS.P2.0deg.500.third.'!$E$68:$E$623</c:f>
              <c:numCache>
                <c:formatCode>General</c:formatCode>
                <c:ptCount val="556"/>
                <c:pt idx="98">
                  <c:v>320.70524211599997</c:v>
                </c:pt>
                <c:pt idx="99">
                  <c:v>322.68544584800003</c:v>
                </c:pt>
                <c:pt idx="100">
                  <c:v>324.66464081599997</c:v>
                </c:pt>
                <c:pt idx="101">
                  <c:v>326.64383578399998</c:v>
                </c:pt>
                <c:pt idx="102">
                  <c:v>328.62403951599993</c:v>
                </c:pt>
                <c:pt idx="103">
                  <c:v>330.60323448399998</c:v>
                </c:pt>
                <c:pt idx="104">
                  <c:v>332.58343821599993</c:v>
                </c:pt>
                <c:pt idx="105">
                  <c:v>334.56263318399999</c:v>
                </c:pt>
                <c:pt idx="106">
                  <c:v>336.54283691599994</c:v>
                </c:pt>
                <c:pt idx="107">
                  <c:v>338.522031884</c:v>
                </c:pt>
                <c:pt idx="108">
                  <c:v>340.50223561600001</c:v>
                </c:pt>
                <c:pt idx="109">
                  <c:v>342.48143058399995</c:v>
                </c:pt>
                <c:pt idx="110">
                  <c:v>344.46163431600007</c:v>
                </c:pt>
                <c:pt idx="111">
                  <c:v>346.44082928399996</c:v>
                </c:pt>
                <c:pt idx="112">
                  <c:v>348.42103301600002</c:v>
                </c:pt>
                <c:pt idx="113">
                  <c:v>350.40022798399997</c:v>
                </c:pt>
                <c:pt idx="114">
                  <c:v>352.37942295200003</c:v>
                </c:pt>
                <c:pt idx="115">
                  <c:v>354.35962668399998</c:v>
                </c:pt>
                <c:pt idx="116">
                  <c:v>356.33882165199998</c:v>
                </c:pt>
                <c:pt idx="117">
                  <c:v>358.31902538400004</c:v>
                </c:pt>
                <c:pt idx="118">
                  <c:v>360.29822035199999</c:v>
                </c:pt>
                <c:pt idx="119">
                  <c:v>362.27842408399999</c:v>
                </c:pt>
                <c:pt idx="120">
                  <c:v>364.257619052</c:v>
                </c:pt>
                <c:pt idx="121">
                  <c:v>366.237822784</c:v>
                </c:pt>
                <c:pt idx="122">
                  <c:v>368.217017752</c:v>
                </c:pt>
                <c:pt idx="123">
                  <c:v>370.19722148400001</c:v>
                </c:pt>
                <c:pt idx="124">
                  <c:v>372.17641645200001</c:v>
                </c:pt>
                <c:pt idx="125">
                  <c:v>374.15662018400002</c:v>
                </c:pt>
                <c:pt idx="126">
                  <c:v>376.13581515200002</c:v>
                </c:pt>
                <c:pt idx="127">
                  <c:v>378.11601888400003</c:v>
                </c:pt>
                <c:pt idx="128">
                  <c:v>380.09521385200003</c:v>
                </c:pt>
                <c:pt idx="129">
                  <c:v>382.07440881999997</c:v>
                </c:pt>
                <c:pt idx="130">
                  <c:v>384.05461255200004</c:v>
                </c:pt>
                <c:pt idx="131">
                  <c:v>386.03380751999998</c:v>
                </c:pt>
                <c:pt idx="132">
                  <c:v>388.01401125200005</c:v>
                </c:pt>
                <c:pt idx="133">
                  <c:v>389.99320621999993</c:v>
                </c:pt>
                <c:pt idx="134">
                  <c:v>391.97340995200005</c:v>
                </c:pt>
                <c:pt idx="135">
                  <c:v>393.95260491999994</c:v>
                </c:pt>
                <c:pt idx="136">
                  <c:v>395.93280865200001</c:v>
                </c:pt>
                <c:pt idx="137">
                  <c:v>397.91200362000001</c:v>
                </c:pt>
                <c:pt idx="138">
                  <c:v>399.89220735200001</c:v>
                </c:pt>
                <c:pt idx="139">
                  <c:v>401.87140232000002</c:v>
                </c:pt>
                <c:pt idx="140">
                  <c:v>403.85160605200002</c:v>
                </c:pt>
                <c:pt idx="141">
                  <c:v>405.83080102000002</c:v>
                </c:pt>
                <c:pt idx="142">
                  <c:v>407.80999598799997</c:v>
                </c:pt>
                <c:pt idx="143">
                  <c:v>409.79019971999998</c:v>
                </c:pt>
                <c:pt idx="144">
                  <c:v>411.76939468799998</c:v>
                </c:pt>
                <c:pt idx="145">
                  <c:v>413.74959841999998</c:v>
                </c:pt>
                <c:pt idx="146">
                  <c:v>415.72879338800004</c:v>
                </c:pt>
                <c:pt idx="147">
                  <c:v>417.70899711999999</c:v>
                </c:pt>
                <c:pt idx="148">
                  <c:v>419.68819208800005</c:v>
                </c:pt>
                <c:pt idx="149">
                  <c:v>421.66839582</c:v>
                </c:pt>
                <c:pt idx="150">
                  <c:v>423.647590788</c:v>
                </c:pt>
                <c:pt idx="151">
                  <c:v>425.62779452000001</c:v>
                </c:pt>
                <c:pt idx="152">
                  <c:v>427.60698948800001</c:v>
                </c:pt>
                <c:pt idx="153">
                  <c:v>429.58719321999996</c:v>
                </c:pt>
                <c:pt idx="154">
                  <c:v>431.56638818800002</c:v>
                </c:pt>
                <c:pt idx="155">
                  <c:v>433.54558315600002</c:v>
                </c:pt>
                <c:pt idx="156">
                  <c:v>435.52578688800003</c:v>
                </c:pt>
                <c:pt idx="157">
                  <c:v>437.50498185599997</c:v>
                </c:pt>
                <c:pt idx="158">
                  <c:v>439.48518558800004</c:v>
                </c:pt>
                <c:pt idx="159">
                  <c:v>441.46438055599998</c:v>
                </c:pt>
                <c:pt idx="160">
                  <c:v>443.44458428799999</c:v>
                </c:pt>
                <c:pt idx="161">
                  <c:v>445.42377925599999</c:v>
                </c:pt>
                <c:pt idx="162">
                  <c:v>447.403982988</c:v>
                </c:pt>
                <c:pt idx="163">
                  <c:v>449.38317795600005</c:v>
                </c:pt>
                <c:pt idx="164">
                  <c:v>451.363381688</c:v>
                </c:pt>
                <c:pt idx="165">
                  <c:v>453.34257665600006</c:v>
                </c:pt>
                <c:pt idx="166">
                  <c:v>455.32278038800001</c:v>
                </c:pt>
                <c:pt idx="167">
                  <c:v>457.30197535600001</c:v>
                </c:pt>
                <c:pt idx="168">
                  <c:v>459.28217908799996</c:v>
                </c:pt>
                <c:pt idx="169">
                  <c:v>461.26137405600002</c:v>
                </c:pt>
                <c:pt idx="170">
                  <c:v>463.24056902400002</c:v>
                </c:pt>
                <c:pt idx="171">
                  <c:v>465.22077275600003</c:v>
                </c:pt>
                <c:pt idx="172">
                  <c:v>467.19996772400003</c:v>
                </c:pt>
                <c:pt idx="173">
                  <c:v>469.18017145600004</c:v>
                </c:pt>
                <c:pt idx="174">
                  <c:v>471.15936642399998</c:v>
                </c:pt>
                <c:pt idx="175">
                  <c:v>473.13957015599999</c:v>
                </c:pt>
                <c:pt idx="176">
                  <c:v>475.11876512399999</c:v>
                </c:pt>
                <c:pt idx="177">
                  <c:v>477.098968856</c:v>
                </c:pt>
                <c:pt idx="178">
                  <c:v>479.078163824</c:v>
                </c:pt>
                <c:pt idx="179">
                  <c:v>481.05836755600001</c:v>
                </c:pt>
                <c:pt idx="180">
                  <c:v>483.03756252400001</c:v>
                </c:pt>
                <c:pt idx="181">
                  <c:v>485.01776625600002</c:v>
                </c:pt>
                <c:pt idx="182">
                  <c:v>486.99696122399996</c:v>
                </c:pt>
                <c:pt idx="183">
                  <c:v>488.97615619200002</c:v>
                </c:pt>
                <c:pt idx="184">
                  <c:v>490.95635992399997</c:v>
                </c:pt>
                <c:pt idx="185">
                  <c:v>492.93555489200003</c:v>
                </c:pt>
                <c:pt idx="186">
                  <c:v>494.91575862399998</c:v>
                </c:pt>
                <c:pt idx="187">
                  <c:v>496.89495359200004</c:v>
                </c:pt>
                <c:pt idx="188">
                  <c:v>498.87515732399999</c:v>
                </c:pt>
                <c:pt idx="189">
                  <c:v>500.85435229200004</c:v>
                </c:pt>
                <c:pt idx="190">
                  <c:v>502.83455602399999</c:v>
                </c:pt>
                <c:pt idx="191">
                  <c:v>504.813750992</c:v>
                </c:pt>
                <c:pt idx="192">
                  <c:v>506.793954724</c:v>
                </c:pt>
                <c:pt idx="193">
                  <c:v>508.77314969200006</c:v>
                </c:pt>
                <c:pt idx="194">
                  <c:v>510.75335342399995</c:v>
                </c:pt>
                <c:pt idx="195">
                  <c:v>512.73254839200001</c:v>
                </c:pt>
                <c:pt idx="196">
                  <c:v>514.71174336000001</c:v>
                </c:pt>
                <c:pt idx="197">
                  <c:v>516.69194709199996</c:v>
                </c:pt>
                <c:pt idx="198">
                  <c:v>518.67114205999997</c:v>
                </c:pt>
                <c:pt idx="199">
                  <c:v>520.65134579200003</c:v>
                </c:pt>
                <c:pt idx="200">
                  <c:v>522.63054076000003</c:v>
                </c:pt>
                <c:pt idx="201">
                  <c:v>524.61074449199998</c:v>
                </c:pt>
                <c:pt idx="202">
                  <c:v>526.58993945999998</c:v>
                </c:pt>
                <c:pt idx="203">
                  <c:v>528.57014319200005</c:v>
                </c:pt>
                <c:pt idx="204">
                  <c:v>530.54933815999993</c:v>
                </c:pt>
                <c:pt idx="205">
                  <c:v>532.529541892</c:v>
                </c:pt>
                <c:pt idx="206">
                  <c:v>534.50873686</c:v>
                </c:pt>
                <c:pt idx="207">
                  <c:v>536.48894059199995</c:v>
                </c:pt>
                <c:pt idx="208">
                  <c:v>538.46813555999995</c:v>
                </c:pt>
                <c:pt idx="209">
                  <c:v>540.44833929200001</c:v>
                </c:pt>
                <c:pt idx="210">
                  <c:v>542.42753426000002</c:v>
                </c:pt>
                <c:pt idx="211">
                  <c:v>544.4067292279999</c:v>
                </c:pt>
                <c:pt idx="212">
                  <c:v>546.38693295999997</c:v>
                </c:pt>
                <c:pt idx="213">
                  <c:v>548.36612792799997</c:v>
                </c:pt>
                <c:pt idx="214">
                  <c:v>550.34633165999992</c:v>
                </c:pt>
                <c:pt idx="215">
                  <c:v>552.32552662799992</c:v>
                </c:pt>
                <c:pt idx="216">
                  <c:v>554.30573035999998</c:v>
                </c:pt>
                <c:pt idx="217">
                  <c:v>556.28492532799999</c:v>
                </c:pt>
                <c:pt idx="218">
                  <c:v>558.26512905999994</c:v>
                </c:pt>
                <c:pt idx="219">
                  <c:v>560.24432402799994</c:v>
                </c:pt>
                <c:pt idx="220">
                  <c:v>562.22452775999989</c:v>
                </c:pt>
                <c:pt idx="221">
                  <c:v>564.203722728</c:v>
                </c:pt>
                <c:pt idx="222">
                  <c:v>566.18392645999995</c:v>
                </c:pt>
                <c:pt idx="223">
                  <c:v>568.16312142800007</c:v>
                </c:pt>
                <c:pt idx="224">
                  <c:v>570.14231639600007</c:v>
                </c:pt>
                <c:pt idx="225">
                  <c:v>572.12252012800002</c:v>
                </c:pt>
                <c:pt idx="226">
                  <c:v>574.10171509600002</c:v>
                </c:pt>
                <c:pt idx="227">
                  <c:v>576.08191882799997</c:v>
                </c:pt>
                <c:pt idx="228">
                  <c:v>578.06111379599997</c:v>
                </c:pt>
                <c:pt idx="229">
                  <c:v>580.04131752800004</c:v>
                </c:pt>
                <c:pt idx="230">
                  <c:v>582.02051249600004</c:v>
                </c:pt>
                <c:pt idx="231">
                  <c:v>584.00071622799999</c:v>
                </c:pt>
                <c:pt idx="232">
                  <c:v>585.97991119599999</c:v>
                </c:pt>
                <c:pt idx="233">
                  <c:v>587.96011492800005</c:v>
                </c:pt>
                <c:pt idx="234">
                  <c:v>589.93930989599994</c:v>
                </c:pt>
                <c:pt idx="235">
                  <c:v>591.919513628</c:v>
                </c:pt>
                <c:pt idx="236">
                  <c:v>593.89870859600001</c:v>
                </c:pt>
                <c:pt idx="237">
                  <c:v>595.87790356400001</c:v>
                </c:pt>
                <c:pt idx="238">
                  <c:v>597.85810729599996</c:v>
                </c:pt>
                <c:pt idx="239">
                  <c:v>599.83730226399996</c:v>
                </c:pt>
                <c:pt idx="240">
                  <c:v>601.81750599600002</c:v>
                </c:pt>
                <c:pt idx="241">
                  <c:v>603.79670096400002</c:v>
                </c:pt>
                <c:pt idx="242">
                  <c:v>605.77690469599997</c:v>
                </c:pt>
                <c:pt idx="243">
                  <c:v>607.75609966399998</c:v>
                </c:pt>
                <c:pt idx="244">
                  <c:v>609.73630339599993</c:v>
                </c:pt>
                <c:pt idx="245">
                  <c:v>611.71549836399993</c:v>
                </c:pt>
                <c:pt idx="246">
                  <c:v>613.69570209599999</c:v>
                </c:pt>
                <c:pt idx="247">
                  <c:v>615.67489706399999</c:v>
                </c:pt>
                <c:pt idx="248">
                  <c:v>617.65510079599994</c:v>
                </c:pt>
                <c:pt idx="249">
                  <c:v>619.63429576399994</c:v>
                </c:pt>
                <c:pt idx="250">
                  <c:v>621.61349073199995</c:v>
                </c:pt>
                <c:pt idx="251">
                  <c:v>623.5936944639999</c:v>
                </c:pt>
                <c:pt idx="252">
                  <c:v>625.5728894319999</c:v>
                </c:pt>
                <c:pt idx="253">
                  <c:v>627.55309316399996</c:v>
                </c:pt>
                <c:pt idx="254">
                  <c:v>629.53228813199996</c:v>
                </c:pt>
                <c:pt idx="255">
                  <c:v>631.51249186399991</c:v>
                </c:pt>
                <c:pt idx="256">
                  <c:v>633.49168683199991</c:v>
                </c:pt>
                <c:pt idx="257">
                  <c:v>635.47189056399998</c:v>
                </c:pt>
                <c:pt idx="258">
                  <c:v>637.45108553199987</c:v>
                </c:pt>
                <c:pt idx="259">
                  <c:v>639.43128926399993</c:v>
                </c:pt>
                <c:pt idx="260">
                  <c:v>641.41048423199993</c:v>
                </c:pt>
                <c:pt idx="261">
                  <c:v>643.39068796399988</c:v>
                </c:pt>
                <c:pt idx="262">
                  <c:v>645.36988293199988</c:v>
                </c:pt>
                <c:pt idx="263">
                  <c:v>647.35008666399995</c:v>
                </c:pt>
                <c:pt idx="264">
                  <c:v>649.32928163199995</c:v>
                </c:pt>
                <c:pt idx="265">
                  <c:v>651.30847659999995</c:v>
                </c:pt>
                <c:pt idx="266">
                  <c:v>653.2886803319999</c:v>
                </c:pt>
                <c:pt idx="267">
                  <c:v>655.26787530000001</c:v>
                </c:pt>
                <c:pt idx="268">
                  <c:v>657.24807903199985</c:v>
                </c:pt>
                <c:pt idx="269">
                  <c:v>659.22727399999997</c:v>
                </c:pt>
                <c:pt idx="270">
                  <c:v>661.20747773199992</c:v>
                </c:pt>
                <c:pt idx="271">
                  <c:v>663.18667270000003</c:v>
                </c:pt>
                <c:pt idx="272">
                  <c:v>665.16687643199987</c:v>
                </c:pt>
                <c:pt idx="273">
                  <c:v>667.14607139999998</c:v>
                </c:pt>
                <c:pt idx="274">
                  <c:v>669.12627513199993</c:v>
                </c:pt>
                <c:pt idx="275">
                  <c:v>671.10547009999993</c:v>
                </c:pt>
                <c:pt idx="276">
                  <c:v>673.08567383199988</c:v>
                </c:pt>
                <c:pt idx="277">
                  <c:v>675.0648688</c:v>
                </c:pt>
                <c:pt idx="278">
                  <c:v>677.044063768</c:v>
                </c:pt>
                <c:pt idx="279">
                  <c:v>679.02426749999995</c:v>
                </c:pt>
                <c:pt idx="280">
                  <c:v>681.00346246799995</c:v>
                </c:pt>
                <c:pt idx="281">
                  <c:v>682.98366620000002</c:v>
                </c:pt>
                <c:pt idx="282">
                  <c:v>684.9628611679999</c:v>
                </c:pt>
                <c:pt idx="283">
                  <c:v>686.94306489999997</c:v>
                </c:pt>
                <c:pt idx="284">
                  <c:v>688.92225986799997</c:v>
                </c:pt>
                <c:pt idx="285">
                  <c:v>690.90246359999992</c:v>
                </c:pt>
                <c:pt idx="286">
                  <c:v>692.88165856799992</c:v>
                </c:pt>
                <c:pt idx="287">
                  <c:v>694.8618623000001</c:v>
                </c:pt>
                <c:pt idx="288">
                  <c:v>696.84105726799999</c:v>
                </c:pt>
                <c:pt idx="289">
                  <c:v>698.82126100000005</c:v>
                </c:pt>
                <c:pt idx="290">
                  <c:v>700.80045596799994</c:v>
                </c:pt>
                <c:pt idx="291">
                  <c:v>702.77965093599994</c:v>
                </c:pt>
                <c:pt idx="292">
                  <c:v>704.75985466799989</c:v>
                </c:pt>
                <c:pt idx="293">
                  <c:v>706.73904963599989</c:v>
                </c:pt>
                <c:pt idx="294">
                  <c:v>708.71925336799995</c:v>
                </c:pt>
                <c:pt idx="295">
                  <c:v>710.69844833599996</c:v>
                </c:pt>
                <c:pt idx="296">
                  <c:v>712.67865206799991</c:v>
                </c:pt>
                <c:pt idx="297">
                  <c:v>714.65784703599991</c:v>
                </c:pt>
                <c:pt idx="298">
                  <c:v>716.63805076800008</c:v>
                </c:pt>
                <c:pt idx="299">
                  <c:v>718.61724573599986</c:v>
                </c:pt>
                <c:pt idx="300">
                  <c:v>720.59744946800004</c:v>
                </c:pt>
                <c:pt idx="301">
                  <c:v>722.57664443599992</c:v>
                </c:pt>
                <c:pt idx="302">
                  <c:v>724.55684816799999</c:v>
                </c:pt>
                <c:pt idx="303">
                  <c:v>726.53604313599988</c:v>
                </c:pt>
                <c:pt idx="304">
                  <c:v>728.51624686800005</c:v>
                </c:pt>
                <c:pt idx="305">
                  <c:v>730.49544183599994</c:v>
                </c:pt>
                <c:pt idx="306">
                  <c:v>732.47463680399994</c:v>
                </c:pt>
                <c:pt idx="307">
                  <c:v>734.45484053600001</c:v>
                </c:pt>
                <c:pt idx="308">
                  <c:v>736.43403550400001</c:v>
                </c:pt>
                <c:pt idx="309">
                  <c:v>738.41423923599996</c:v>
                </c:pt>
                <c:pt idx="310">
                  <c:v>740.39343420399996</c:v>
                </c:pt>
                <c:pt idx="311">
                  <c:v>742.37363793600002</c:v>
                </c:pt>
                <c:pt idx="312">
                  <c:v>744.35283290400002</c:v>
                </c:pt>
                <c:pt idx="313">
                  <c:v>746.33303663599997</c:v>
                </c:pt>
                <c:pt idx="314">
                  <c:v>748.31223160399998</c:v>
                </c:pt>
                <c:pt idx="315">
                  <c:v>750.29243533600004</c:v>
                </c:pt>
                <c:pt idx="316">
                  <c:v>752.27163030400004</c:v>
                </c:pt>
                <c:pt idx="317">
                  <c:v>754.25183403599999</c:v>
                </c:pt>
                <c:pt idx="318">
                  <c:v>756.23102900400011</c:v>
                </c:pt>
                <c:pt idx="319">
                  <c:v>758.21022397199999</c:v>
                </c:pt>
                <c:pt idx="320">
                  <c:v>760.19042770400006</c:v>
                </c:pt>
                <c:pt idx="321">
                  <c:v>762.16962267199995</c:v>
                </c:pt>
                <c:pt idx="322">
                  <c:v>764.14982640400012</c:v>
                </c:pt>
                <c:pt idx="323">
                  <c:v>766.1290213719999</c:v>
                </c:pt>
                <c:pt idx="324">
                  <c:v>768.10922510400007</c:v>
                </c:pt>
                <c:pt idx="325">
                  <c:v>770.08842007200008</c:v>
                </c:pt>
                <c:pt idx="326">
                  <c:v>772.06862380400003</c:v>
                </c:pt>
                <c:pt idx="327">
                  <c:v>774.04781877200003</c:v>
                </c:pt>
                <c:pt idx="328">
                  <c:v>776.02802250400009</c:v>
                </c:pt>
                <c:pt idx="329">
                  <c:v>778.00721747200009</c:v>
                </c:pt>
                <c:pt idx="330">
                  <c:v>779.98742120400004</c:v>
                </c:pt>
                <c:pt idx="331">
                  <c:v>781.96661617200004</c:v>
                </c:pt>
                <c:pt idx="332">
                  <c:v>783.94581113999993</c:v>
                </c:pt>
                <c:pt idx="333">
                  <c:v>785.926014872</c:v>
                </c:pt>
                <c:pt idx="334">
                  <c:v>787.90520983999988</c:v>
                </c:pt>
                <c:pt idx="335">
                  <c:v>789.88541357200006</c:v>
                </c:pt>
                <c:pt idx="336">
                  <c:v>791.86460854000006</c:v>
                </c:pt>
                <c:pt idx="337">
                  <c:v>793.84481227200001</c:v>
                </c:pt>
                <c:pt idx="338">
                  <c:v>795.82400724000001</c:v>
                </c:pt>
                <c:pt idx="339">
                  <c:v>797.80421097200008</c:v>
                </c:pt>
                <c:pt idx="340">
                  <c:v>799.78340593999997</c:v>
                </c:pt>
                <c:pt idx="341">
                  <c:v>801.76360967200003</c:v>
                </c:pt>
                <c:pt idx="342">
                  <c:v>803.74280464000003</c:v>
                </c:pt>
                <c:pt idx="343">
                  <c:v>805.72300837199998</c:v>
                </c:pt>
                <c:pt idx="344">
                  <c:v>807.70220333999998</c:v>
                </c:pt>
                <c:pt idx="345">
                  <c:v>809.68240707200005</c:v>
                </c:pt>
                <c:pt idx="346">
                  <c:v>811.66160204000005</c:v>
                </c:pt>
                <c:pt idx="347">
                  <c:v>813.64079700800005</c:v>
                </c:pt>
                <c:pt idx="348">
                  <c:v>815.62100074</c:v>
                </c:pt>
                <c:pt idx="349">
                  <c:v>817.60019570800011</c:v>
                </c:pt>
              </c:numCache>
            </c:numRef>
          </c:xVal>
          <c:yVal>
            <c:numRef>
              <c:f>'8-MUMPs95.RS.P2.0deg.500.third.'!$H$68:$H$623</c:f>
              <c:numCache>
                <c:formatCode>General</c:formatCode>
                <c:ptCount val="556"/>
                <c:pt idx="226">
                  <c:v>-0.21862930980000006</c:v>
                </c:pt>
                <c:pt idx="227">
                  <c:v>-0.21835116191720871</c:v>
                </c:pt>
                <c:pt idx="228">
                  <c:v>-0.21751738997728998</c:v>
                </c:pt>
                <c:pt idx="229">
                  <c:v>-0.21612745920569654</c:v>
                </c:pt>
                <c:pt idx="230">
                  <c:v>-0.21418331046797778</c:v>
                </c:pt>
                <c:pt idx="231">
                  <c:v>-0.21168369680293142</c:v>
                </c:pt>
                <c:pt idx="232">
                  <c:v>-0.20863210861032977</c:v>
                </c:pt>
                <c:pt idx="233">
                  <c:v>-0.20502658862630252</c:v>
                </c:pt>
                <c:pt idx="234">
                  <c:v>-0.20087217151133041</c:v>
                </c:pt>
                <c:pt idx="235">
                  <c:v>-0.19616619265603208</c:v>
                </c:pt>
                <c:pt idx="236">
                  <c:v>-0.19091522337491096</c:v>
                </c:pt>
                <c:pt idx="237">
                  <c:v>-0.18511898865101228</c:v>
                </c:pt>
                <c:pt idx="238">
                  <c:v>-0.17877630778828091</c:v>
                </c:pt>
                <c:pt idx="239">
                  <c:v>-0.17189603755212568</c:v>
                </c:pt>
                <c:pt idx="240">
                  <c:v>-0.16447376499312361</c:v>
                </c:pt>
                <c:pt idx="241">
                  <c:v>-0.15651985439229144</c:v>
                </c:pt>
                <c:pt idx="242">
                  <c:v>-0.14802920417599963</c:v>
                </c:pt>
                <c:pt idx="243">
                  <c:v>-0.13901367048186053</c:v>
                </c:pt>
                <c:pt idx="244">
                  <c:v>-0.12946747081982002</c:v>
                </c:pt>
                <c:pt idx="245">
                  <c:v>-0.11940393527108162</c:v>
                </c:pt>
                <c:pt idx="246">
                  <c:v>-0.10881660916571767</c:v>
                </c:pt>
                <c:pt idx="247">
                  <c:v>-9.7720276388596039E-2</c:v>
                </c:pt>
                <c:pt idx="248">
                  <c:v>-8.6107819842037747E-2</c:v>
                </c:pt>
                <c:pt idx="249">
                  <c:v>-7.3995454878143629E-2</c:v>
                </c:pt>
                <c:pt idx="250">
                  <c:v>-6.1381968586672553E-2</c:v>
                </c:pt>
                <c:pt idx="251">
                  <c:v>-4.826531570110526E-2</c:v>
                </c:pt>
                <c:pt idx="252">
                  <c:v>-3.4663811996754834E-2</c:v>
                </c:pt>
                <c:pt idx="253">
                  <c:v>-2.0568733579664933E-2</c:v>
                </c:pt>
                <c:pt idx="254">
                  <c:v>-5.9997624747825107E-3</c:v>
                </c:pt>
                <c:pt idx="255">
                  <c:v>9.0524457375766865E-3</c:v>
                </c:pt>
                <c:pt idx="256">
                  <c:v>2.4566872519683036E-2</c:v>
                </c:pt>
                <c:pt idx="257">
                  <c:v>4.0553468698810491E-2</c:v>
                </c:pt>
                <c:pt idx="258">
                  <c:v>5.6989910980577374E-2</c:v>
                </c:pt>
                <c:pt idx="259">
                  <c:v>7.3886741565510672E-2</c:v>
                </c:pt>
                <c:pt idx="260">
                  <c:v>9.1220366130026154E-2</c:v>
                </c:pt>
                <c:pt idx="261">
                  <c:v>0.1090019023200739</c:v>
                </c:pt>
                <c:pt idx="262">
                  <c:v>0.12720652043066694</c:v>
                </c:pt>
                <c:pt idx="263">
                  <c:v>0.14584589675593729</c:v>
                </c:pt>
                <c:pt idx="264">
                  <c:v>0.16489400372378071</c:v>
                </c:pt>
                <c:pt idx="265">
                  <c:v>0.18435303714526219</c:v>
                </c:pt>
                <c:pt idx="266">
                  <c:v>0.2042258753751629</c:v>
                </c:pt>
                <c:pt idx="267">
                  <c:v>0.22448476846515364</c:v>
                </c:pt>
                <c:pt idx="268">
                  <c:v>0.24514271030464085</c:v>
                </c:pt>
                <c:pt idx="269">
                  <c:v>0.26617085464570223</c:v>
                </c:pt>
                <c:pt idx="270">
                  <c:v>0.28758268876924498</c:v>
                </c:pt>
                <c:pt idx="271">
                  <c:v>0.30934831371047844</c:v>
                </c:pt>
                <c:pt idx="272">
                  <c:v>0.33148168976437753</c:v>
                </c:pt>
                <c:pt idx="273">
                  <c:v>0.35395191042253704</c:v>
                </c:pt>
                <c:pt idx="274">
                  <c:v>0.37677338790189929</c:v>
                </c:pt>
                <c:pt idx="275">
                  <c:v>0.39991425484594934</c:v>
                </c:pt>
                <c:pt idx="276">
                  <c:v>0.42338935361870811</c:v>
                </c:pt>
                <c:pt idx="277">
                  <c:v>0.44716590416277491</c:v>
                </c:pt>
                <c:pt idx="278">
                  <c:v>0.47124680685357734</c:v>
                </c:pt>
                <c:pt idx="279">
                  <c:v>0.49563546759166699</c:v>
                </c:pt>
                <c:pt idx="280">
                  <c:v>0.5202978306439161</c:v>
                </c:pt>
                <c:pt idx="281">
                  <c:v>0.54524971424958713</c:v>
                </c:pt>
                <c:pt idx="282">
                  <c:v>0.57045627620482176</c:v>
                </c:pt>
                <c:pt idx="283">
                  <c:v>0.59593368379364375</c:v>
                </c:pt>
                <c:pt idx="284">
                  <c:v>0.62164636098327519</c:v>
                </c:pt>
                <c:pt idx="285">
                  <c:v>0.64761079967593527</c:v>
                </c:pt>
                <c:pt idx="286">
                  <c:v>0.673790743760454</c:v>
                </c:pt>
                <c:pt idx="287">
                  <c:v>0.70020298484023891</c:v>
                </c:pt>
                <c:pt idx="288">
                  <c:v>0.72681064150374364</c:v>
                </c:pt>
                <c:pt idx="289">
                  <c:v>0.7536307796857542</c:v>
                </c:pt>
                <c:pt idx="290">
                  <c:v>0.78062594839712396</c:v>
                </c:pt>
                <c:pt idx="291">
                  <c:v>0.80779956840205291</c:v>
                </c:pt>
                <c:pt idx="292">
                  <c:v>0.83515535687010933</c:v>
                </c:pt>
                <c:pt idx="293">
                  <c:v>0.86265511484311108</c:v>
                </c:pt>
                <c:pt idx="294">
                  <c:v>0.89031648044236822</c:v>
                </c:pt>
                <c:pt idx="295">
                  <c:v>0.91810082800921666</c:v>
                </c:pt>
                <c:pt idx="296">
                  <c:v>0.94602597819842171</c:v>
                </c:pt>
                <c:pt idx="297">
                  <c:v>0.97405293700893036</c:v>
                </c:pt>
                <c:pt idx="298">
                  <c:v>1.0021996807043907</c:v>
                </c:pt>
                <c:pt idx="299">
                  <c:v>1.0304269058559514</c:v>
                </c:pt>
                <c:pt idx="300">
                  <c:v>1.0587527171764759</c:v>
                </c:pt>
                <c:pt idx="301">
                  <c:v>1.0871375611914318</c:v>
                </c:pt>
                <c:pt idx="302">
                  <c:v>1.1155996437091333</c:v>
                </c:pt>
                <c:pt idx="303">
                  <c:v>1.1440992209692677</c:v>
                </c:pt>
                <c:pt idx="304">
                  <c:v>1.1726545723691206</c:v>
                </c:pt>
                <c:pt idx="305">
                  <c:v>1.2012258239099736</c:v>
                </c:pt>
                <c:pt idx="306">
                  <c:v>1.2298167254604249</c:v>
                </c:pt>
                <c:pt idx="307">
                  <c:v>1.2584310595274877</c:v>
                </c:pt>
                <c:pt idx="308">
                  <c:v>1.2870288697504884</c:v>
                </c:pt>
                <c:pt idx="309">
                  <c:v>1.3156284985325299</c:v>
                </c:pt>
                <c:pt idx="310">
                  <c:v>1.3441900100470456</c:v>
                </c:pt>
                <c:pt idx="311">
                  <c:v>1.3727317234154393</c:v>
                </c:pt>
                <c:pt idx="312">
                  <c:v>1.4012137836828173</c:v>
                </c:pt>
                <c:pt idx="313">
                  <c:v>1.4296544590112019</c:v>
                </c:pt>
                <c:pt idx="314">
                  <c:v>1.4580140355327644</c:v>
                </c:pt>
                <c:pt idx="315">
                  <c:v>1.4863107028494478</c:v>
                </c:pt>
                <c:pt idx="316">
                  <c:v>1.5145049481827093</c:v>
                </c:pt>
                <c:pt idx="317">
                  <c:v>1.5426148550924093</c:v>
                </c:pt>
                <c:pt idx="318">
                  <c:v>1.5706011715877017</c:v>
                </c:pt>
                <c:pt idx="319">
                  <c:v>1.5984676770920285</c:v>
                </c:pt>
                <c:pt idx="320">
                  <c:v>1.6262179520242777</c:v>
                </c:pt>
                <c:pt idx="321">
                  <c:v>1.6538132465749498</c:v>
                </c:pt>
                <c:pt idx="322">
                  <c:v>1.6812712601417479</c:v>
                </c:pt>
                <c:pt idx="323">
                  <c:v>1.708553651021834</c:v>
                </c:pt>
                <c:pt idx="324">
                  <c:v>1.7356779179190436</c:v>
                </c:pt>
                <c:pt idx="325">
                  <c:v>1.7626061851662806</c:v>
                </c:pt>
                <c:pt idx="326">
                  <c:v>1.7893557243353508</c:v>
                </c:pt>
                <c:pt idx="327">
                  <c:v>1.8158891830198598</c:v>
                </c:pt>
                <c:pt idx="328">
                  <c:v>1.8422235795646056</c:v>
                </c:pt>
                <c:pt idx="329">
                  <c:v>1.868322141258262</c:v>
                </c:pt>
                <c:pt idx="330">
                  <c:v>1.8942016075062338</c:v>
                </c:pt>
                <c:pt idx="331">
                  <c:v>1.9198258408508062</c:v>
                </c:pt>
                <c:pt idx="332">
                  <c:v>1.9451984102745907</c:v>
                </c:pt>
                <c:pt idx="333">
                  <c:v>1.9703224667495693</c:v>
                </c:pt>
                <c:pt idx="334">
                  <c:v>1.9951629276538712</c:v>
                </c:pt>
                <c:pt idx="335">
                  <c:v>2.0197357254572825</c:v>
                </c:pt>
                <c:pt idx="336">
                  <c:v>2.0440065473021409</c:v>
                </c:pt>
                <c:pt idx="337">
                  <c:v>2.067990960296366</c:v>
                </c:pt>
                <c:pt idx="338">
                  <c:v>2.0916554731885495</c:v>
                </c:pt>
                <c:pt idx="339">
                  <c:v>2.1150152642049749</c:v>
                </c:pt>
                <c:pt idx="340">
                  <c:v>2.1380377143011788</c:v>
                </c:pt>
                <c:pt idx="341">
                  <c:v>2.1607375898895871</c:v>
                </c:pt>
                <c:pt idx="342">
                  <c:v>2.1830831934156043</c:v>
                </c:pt>
                <c:pt idx="343">
                  <c:v>2.2050888571677616</c:v>
                </c:pt>
                <c:pt idx="344">
                  <c:v>2.226723852972003</c:v>
                </c:pt>
                <c:pt idx="345">
                  <c:v>2.2480020573388408</c:v>
                </c:pt>
                <c:pt idx="346">
                  <c:v>2.268893757900825</c:v>
                </c:pt>
                <c:pt idx="347">
                  <c:v>2.2894020007954134</c:v>
                </c:pt>
                <c:pt idx="348">
                  <c:v>2.3095291952416601</c:v>
                </c:pt>
                <c:pt idx="349">
                  <c:v>2.3292472361143979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677440"/>
        <c:axId val="93683712"/>
      </c:scatterChart>
      <c:valAx>
        <c:axId val="936774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1400" i="1"/>
                  <a:t>v</a:t>
                </a:r>
                <a:r>
                  <a:rPr lang="en-US" sz="1400"/>
                  <a:t> (um)</a:t>
                </a:r>
              </a:p>
            </c:rich>
          </c:tx>
          <c:layout>
            <c:manualLayout>
              <c:xMode val="edge"/>
              <c:yMode val="edge"/>
              <c:x val="0.42272933409097058"/>
              <c:y val="0.90699074074074071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93683712"/>
        <c:crosses val="autoZero"/>
        <c:crossBetween val="midCat"/>
      </c:valAx>
      <c:valAx>
        <c:axId val="9368371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400" i="1"/>
                  <a:t>z</a:t>
                </a:r>
                <a:r>
                  <a:rPr lang="en-US" sz="1400"/>
                  <a:t> (um)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367744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US"/>
              <a:t>Plot of Residual</a:t>
            </a:r>
            <a:r>
              <a:rPr lang="en-US" baseline="0"/>
              <a:t> Strain Data from Trace b, c, or d in Columns B and C</a:t>
            </a:r>
            <a:endParaRPr lang="en-US"/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138772965879265"/>
          <c:y val="0.237682738287851"/>
          <c:w val="0.82740048118985121"/>
          <c:h val="0.6523172617121491"/>
        </c:manualLayout>
      </c:layout>
      <c:scatterChart>
        <c:scatterStyle val="lineMarker"/>
        <c:varyColors val="0"/>
        <c:ser>
          <c:idx val="0"/>
          <c:order val="0"/>
          <c:tx>
            <c:strRef>
              <c:f>'8-MUMPs95.RS.P2.0deg.500.third.'!$C$1:$C$3</c:f>
              <c:strCache>
                <c:ptCount val="1"/>
                <c:pt idx="0">
                  <c:v>z (uncal)    um</c:v>
                </c:pt>
              </c:strCache>
            </c:strRef>
          </c:tx>
          <c:spPr>
            <a:ln w="12700"/>
          </c:spPr>
          <c:marker>
            <c:symbol val="circle"/>
            <c:size val="2"/>
          </c:marker>
          <c:xVal>
            <c:numRef>
              <c:f>'8-MUMPs95.RS.P2.0deg.500.third.'!$B$4:$B$643</c:f>
              <c:numCache>
                <c:formatCode>General</c:formatCode>
                <c:ptCount val="640"/>
                <c:pt idx="0">
                  <c:v>0</c:v>
                </c:pt>
                <c:pt idx="1">
                  <c:v>1.9624600000000001</c:v>
                </c:pt>
                <c:pt idx="2">
                  <c:v>3.9249300000000003</c:v>
                </c:pt>
                <c:pt idx="3">
                  <c:v>5.8873899999999999</c:v>
                </c:pt>
                <c:pt idx="4">
                  <c:v>7.84985</c:v>
                </c:pt>
                <c:pt idx="5">
                  <c:v>9.8123199999999997</c:v>
                </c:pt>
                <c:pt idx="6">
                  <c:v>11.774800000000001</c:v>
                </c:pt>
                <c:pt idx="7">
                  <c:v>13.7372</c:v>
                </c:pt>
                <c:pt idx="8">
                  <c:v>15.6997</c:v>
                </c:pt>
                <c:pt idx="9">
                  <c:v>17.662199999999999</c:v>
                </c:pt>
                <c:pt idx="10">
                  <c:v>19.624599999999997</c:v>
                </c:pt>
                <c:pt idx="11">
                  <c:v>21.587100000000003</c:v>
                </c:pt>
                <c:pt idx="12">
                  <c:v>23.549600000000002</c:v>
                </c:pt>
                <c:pt idx="13">
                  <c:v>25.512</c:v>
                </c:pt>
                <c:pt idx="14">
                  <c:v>27.474499999999999</c:v>
                </c:pt>
                <c:pt idx="15">
                  <c:v>29.437000000000001</c:v>
                </c:pt>
                <c:pt idx="16">
                  <c:v>31.3994</c:v>
                </c:pt>
                <c:pt idx="17">
                  <c:v>33.361899999999999</c:v>
                </c:pt>
                <c:pt idx="18">
                  <c:v>35.324300000000001</c:v>
                </c:pt>
                <c:pt idx="19">
                  <c:v>37.286799999999999</c:v>
                </c:pt>
                <c:pt idx="20">
                  <c:v>39.249299999999998</c:v>
                </c:pt>
                <c:pt idx="21">
                  <c:v>41.2117</c:v>
                </c:pt>
                <c:pt idx="22">
                  <c:v>43.174200000000006</c:v>
                </c:pt>
                <c:pt idx="23">
                  <c:v>45.136700000000005</c:v>
                </c:pt>
                <c:pt idx="24">
                  <c:v>47.0991</c:v>
                </c:pt>
                <c:pt idx="25">
                  <c:v>49.061599999999999</c:v>
                </c:pt>
                <c:pt idx="26">
                  <c:v>51.024000000000001</c:v>
                </c:pt>
                <c:pt idx="27">
                  <c:v>52.986499999999999</c:v>
                </c:pt>
                <c:pt idx="28">
                  <c:v>54.948999999999998</c:v>
                </c:pt>
                <c:pt idx="29">
                  <c:v>56.9114</c:v>
                </c:pt>
                <c:pt idx="30">
                  <c:v>58.873899999999999</c:v>
                </c:pt>
                <c:pt idx="31">
                  <c:v>60.836399999999998</c:v>
                </c:pt>
                <c:pt idx="32">
                  <c:v>62.7988</c:v>
                </c:pt>
                <c:pt idx="33">
                  <c:v>64.761299999999991</c:v>
                </c:pt>
                <c:pt idx="34">
                  <c:v>66.723799999999997</c:v>
                </c:pt>
                <c:pt idx="35">
                  <c:v>68.686199999999999</c:v>
                </c:pt>
                <c:pt idx="36">
                  <c:v>70.648699999999991</c:v>
                </c:pt>
                <c:pt idx="37">
                  <c:v>72.611099999999993</c:v>
                </c:pt>
                <c:pt idx="38">
                  <c:v>74.573599999999999</c:v>
                </c:pt>
                <c:pt idx="39">
                  <c:v>76.53609999999999</c:v>
                </c:pt>
                <c:pt idx="40">
                  <c:v>78.498499999999993</c:v>
                </c:pt>
                <c:pt idx="41">
                  <c:v>80.460999999999999</c:v>
                </c:pt>
                <c:pt idx="42">
                  <c:v>82.42349999999999</c:v>
                </c:pt>
                <c:pt idx="43">
                  <c:v>84.385900000000007</c:v>
                </c:pt>
                <c:pt idx="44">
                  <c:v>86.348400000000012</c:v>
                </c:pt>
                <c:pt idx="45">
                  <c:v>88.310900000000004</c:v>
                </c:pt>
                <c:pt idx="46">
                  <c:v>90.273300000000006</c:v>
                </c:pt>
                <c:pt idx="47">
                  <c:v>92.235800000000012</c:v>
                </c:pt>
                <c:pt idx="48">
                  <c:v>94.1982</c:v>
                </c:pt>
                <c:pt idx="49">
                  <c:v>96.160700000000006</c:v>
                </c:pt>
                <c:pt idx="50">
                  <c:v>98.123199999999997</c:v>
                </c:pt>
                <c:pt idx="51">
                  <c:v>100.086</c:v>
                </c:pt>
                <c:pt idx="52">
                  <c:v>102.048</c:v>
                </c:pt>
                <c:pt idx="53">
                  <c:v>104.01100000000001</c:v>
                </c:pt>
                <c:pt idx="54">
                  <c:v>105.973</c:v>
                </c:pt>
                <c:pt idx="55">
                  <c:v>107.935</c:v>
                </c:pt>
                <c:pt idx="56">
                  <c:v>109.898</c:v>
                </c:pt>
                <c:pt idx="57">
                  <c:v>111.86</c:v>
                </c:pt>
                <c:pt idx="58">
                  <c:v>113.82299999999999</c:v>
                </c:pt>
                <c:pt idx="59">
                  <c:v>115.785</c:v>
                </c:pt>
                <c:pt idx="60">
                  <c:v>117.748</c:v>
                </c:pt>
                <c:pt idx="61">
                  <c:v>119.71</c:v>
                </c:pt>
                <c:pt idx="62">
                  <c:v>121.673</c:v>
                </c:pt>
                <c:pt idx="63">
                  <c:v>123.63499999999999</c:v>
                </c:pt>
                <c:pt idx="64">
                  <c:v>125.59799999999998</c:v>
                </c:pt>
                <c:pt idx="65">
                  <c:v>127.56</c:v>
                </c:pt>
                <c:pt idx="66">
                  <c:v>129.523</c:v>
                </c:pt>
                <c:pt idx="67">
                  <c:v>131.48499999999999</c:v>
                </c:pt>
                <c:pt idx="68">
                  <c:v>133.44800000000001</c:v>
                </c:pt>
                <c:pt idx="69">
                  <c:v>135.41</c:v>
                </c:pt>
                <c:pt idx="70">
                  <c:v>137.37199999999999</c:v>
                </c:pt>
                <c:pt idx="71">
                  <c:v>139.33499999999998</c:v>
                </c:pt>
                <c:pt idx="72">
                  <c:v>141.297</c:v>
                </c:pt>
                <c:pt idx="73">
                  <c:v>143.26</c:v>
                </c:pt>
                <c:pt idx="74">
                  <c:v>145.22199999999998</c:v>
                </c:pt>
                <c:pt idx="75">
                  <c:v>147.185</c:v>
                </c:pt>
                <c:pt idx="76">
                  <c:v>149.14699999999999</c:v>
                </c:pt>
                <c:pt idx="77">
                  <c:v>151.10999999999999</c:v>
                </c:pt>
                <c:pt idx="78">
                  <c:v>153.072</c:v>
                </c:pt>
                <c:pt idx="79">
                  <c:v>155.035</c:v>
                </c:pt>
                <c:pt idx="80">
                  <c:v>156.99699999999999</c:v>
                </c:pt>
                <c:pt idx="81">
                  <c:v>158.95999999999998</c:v>
                </c:pt>
                <c:pt idx="82">
                  <c:v>160.922</c:v>
                </c:pt>
                <c:pt idx="83">
                  <c:v>162.88400000000001</c:v>
                </c:pt>
                <c:pt idx="84">
                  <c:v>164.84699999999998</c:v>
                </c:pt>
                <c:pt idx="85">
                  <c:v>166.80900000000003</c:v>
                </c:pt>
                <c:pt idx="86">
                  <c:v>168.77199999999999</c:v>
                </c:pt>
                <c:pt idx="87">
                  <c:v>170.73400000000001</c:v>
                </c:pt>
                <c:pt idx="88">
                  <c:v>172.697</c:v>
                </c:pt>
                <c:pt idx="89">
                  <c:v>174.65900000000002</c:v>
                </c:pt>
                <c:pt idx="90">
                  <c:v>176.62200000000001</c:v>
                </c:pt>
                <c:pt idx="91">
                  <c:v>178.584</c:v>
                </c:pt>
                <c:pt idx="92">
                  <c:v>180.54700000000003</c:v>
                </c:pt>
                <c:pt idx="93">
                  <c:v>182.50900000000001</c:v>
                </c:pt>
                <c:pt idx="94">
                  <c:v>184.47200000000001</c:v>
                </c:pt>
                <c:pt idx="95">
                  <c:v>186.434</c:v>
                </c:pt>
                <c:pt idx="96">
                  <c:v>188.39600000000002</c:v>
                </c:pt>
                <c:pt idx="97">
                  <c:v>190.35900000000001</c:v>
                </c:pt>
                <c:pt idx="98">
                  <c:v>192.321</c:v>
                </c:pt>
                <c:pt idx="99">
                  <c:v>194.28400000000002</c:v>
                </c:pt>
                <c:pt idx="100">
                  <c:v>196.24600000000001</c:v>
                </c:pt>
                <c:pt idx="101">
                  <c:v>198.209</c:v>
                </c:pt>
                <c:pt idx="102">
                  <c:v>200.17099999999999</c:v>
                </c:pt>
                <c:pt idx="103">
                  <c:v>202.13400000000001</c:v>
                </c:pt>
                <c:pt idx="104">
                  <c:v>204.096</c:v>
                </c:pt>
                <c:pt idx="105">
                  <c:v>206.059</c:v>
                </c:pt>
                <c:pt idx="106">
                  <c:v>208.02100000000002</c:v>
                </c:pt>
                <c:pt idx="107">
                  <c:v>209.98400000000001</c:v>
                </c:pt>
                <c:pt idx="108">
                  <c:v>211.946</c:v>
                </c:pt>
                <c:pt idx="109">
                  <c:v>213.90899999999999</c:v>
                </c:pt>
                <c:pt idx="110">
                  <c:v>215.87100000000001</c:v>
                </c:pt>
                <c:pt idx="111">
                  <c:v>217.833</c:v>
                </c:pt>
                <c:pt idx="112">
                  <c:v>219.79599999999999</c:v>
                </c:pt>
                <c:pt idx="113">
                  <c:v>221.75800000000001</c:v>
                </c:pt>
                <c:pt idx="114">
                  <c:v>223.721</c:v>
                </c:pt>
                <c:pt idx="115">
                  <c:v>225.68299999999999</c:v>
                </c:pt>
                <c:pt idx="116">
                  <c:v>227.64599999999999</c:v>
                </c:pt>
                <c:pt idx="117">
                  <c:v>229.608</c:v>
                </c:pt>
                <c:pt idx="118">
                  <c:v>231.571</c:v>
                </c:pt>
                <c:pt idx="119">
                  <c:v>233.53299999999999</c:v>
                </c:pt>
                <c:pt idx="120">
                  <c:v>235.49600000000001</c:v>
                </c:pt>
                <c:pt idx="121">
                  <c:v>237.458</c:v>
                </c:pt>
                <c:pt idx="122">
                  <c:v>239.42099999999999</c:v>
                </c:pt>
                <c:pt idx="123">
                  <c:v>241.38299999999998</c:v>
                </c:pt>
                <c:pt idx="124">
                  <c:v>243.345</c:v>
                </c:pt>
                <c:pt idx="125">
                  <c:v>245.30799999999999</c:v>
                </c:pt>
                <c:pt idx="126">
                  <c:v>247.26999999999998</c:v>
                </c:pt>
                <c:pt idx="127">
                  <c:v>249.233</c:v>
                </c:pt>
                <c:pt idx="128">
                  <c:v>251.19499999999999</c:v>
                </c:pt>
                <c:pt idx="129">
                  <c:v>253.15799999999999</c:v>
                </c:pt>
                <c:pt idx="130">
                  <c:v>255.12</c:v>
                </c:pt>
                <c:pt idx="131">
                  <c:v>257.08300000000003</c:v>
                </c:pt>
                <c:pt idx="132">
                  <c:v>259.04500000000002</c:v>
                </c:pt>
                <c:pt idx="133">
                  <c:v>261.00800000000004</c:v>
                </c:pt>
                <c:pt idx="134">
                  <c:v>262.96999999999997</c:v>
                </c:pt>
                <c:pt idx="135">
                  <c:v>264.93299999999999</c:v>
                </c:pt>
                <c:pt idx="136">
                  <c:v>266.89499999999998</c:v>
                </c:pt>
                <c:pt idx="137">
                  <c:v>268.85700000000003</c:v>
                </c:pt>
                <c:pt idx="138">
                  <c:v>270.82</c:v>
                </c:pt>
                <c:pt idx="139">
                  <c:v>272.78200000000004</c:v>
                </c:pt>
                <c:pt idx="140">
                  <c:v>274.745</c:v>
                </c:pt>
                <c:pt idx="141">
                  <c:v>276.70699999999999</c:v>
                </c:pt>
                <c:pt idx="142">
                  <c:v>278.66999999999996</c:v>
                </c:pt>
                <c:pt idx="143">
                  <c:v>280.63200000000001</c:v>
                </c:pt>
                <c:pt idx="144">
                  <c:v>282.59499999999997</c:v>
                </c:pt>
                <c:pt idx="145">
                  <c:v>284.55700000000002</c:v>
                </c:pt>
                <c:pt idx="146">
                  <c:v>286.52</c:v>
                </c:pt>
                <c:pt idx="147">
                  <c:v>288.48200000000003</c:v>
                </c:pt>
                <c:pt idx="148">
                  <c:v>290.44499999999999</c:v>
                </c:pt>
                <c:pt idx="149">
                  <c:v>292.40699999999998</c:v>
                </c:pt>
                <c:pt idx="150">
                  <c:v>294.37</c:v>
                </c:pt>
                <c:pt idx="151">
                  <c:v>296.33199999999999</c:v>
                </c:pt>
                <c:pt idx="152">
                  <c:v>298.29399999999998</c:v>
                </c:pt>
                <c:pt idx="153">
                  <c:v>300.25700000000001</c:v>
                </c:pt>
                <c:pt idx="154">
                  <c:v>302.21899999999999</c:v>
                </c:pt>
                <c:pt idx="155">
                  <c:v>304.18200000000002</c:v>
                </c:pt>
                <c:pt idx="156">
                  <c:v>306.14400000000001</c:v>
                </c:pt>
                <c:pt idx="157">
                  <c:v>308.10700000000003</c:v>
                </c:pt>
                <c:pt idx="158">
                  <c:v>310.06899999999996</c:v>
                </c:pt>
                <c:pt idx="159">
                  <c:v>312.03199999999998</c:v>
                </c:pt>
                <c:pt idx="160">
                  <c:v>313.99399999999997</c:v>
                </c:pt>
                <c:pt idx="161">
                  <c:v>315.95699999999999</c:v>
                </c:pt>
                <c:pt idx="162">
                  <c:v>317.91899999999998</c:v>
                </c:pt>
                <c:pt idx="163">
                  <c:v>319.88200000000001</c:v>
                </c:pt>
                <c:pt idx="164">
                  <c:v>321.84399999999999</c:v>
                </c:pt>
                <c:pt idx="165">
                  <c:v>323.80599999999998</c:v>
                </c:pt>
                <c:pt idx="166">
                  <c:v>325.76899999999995</c:v>
                </c:pt>
                <c:pt idx="167">
                  <c:v>327.73099999999999</c:v>
                </c:pt>
                <c:pt idx="168">
                  <c:v>329.69399999999996</c:v>
                </c:pt>
                <c:pt idx="169">
                  <c:v>331.65600000000001</c:v>
                </c:pt>
                <c:pt idx="170">
                  <c:v>333.61899999999997</c:v>
                </c:pt>
                <c:pt idx="171">
                  <c:v>335.58100000000002</c:v>
                </c:pt>
                <c:pt idx="172">
                  <c:v>337.54399999999998</c:v>
                </c:pt>
                <c:pt idx="173">
                  <c:v>339.50599999999997</c:v>
                </c:pt>
                <c:pt idx="174">
                  <c:v>341.46900000000005</c:v>
                </c:pt>
                <c:pt idx="175">
                  <c:v>343.43099999999998</c:v>
                </c:pt>
                <c:pt idx="176">
                  <c:v>345.39400000000001</c:v>
                </c:pt>
                <c:pt idx="177">
                  <c:v>347.35599999999999</c:v>
                </c:pt>
                <c:pt idx="178">
                  <c:v>349.31800000000004</c:v>
                </c:pt>
                <c:pt idx="179">
                  <c:v>351.28100000000001</c:v>
                </c:pt>
                <c:pt idx="180">
                  <c:v>353.24299999999999</c:v>
                </c:pt>
                <c:pt idx="181">
                  <c:v>355.20600000000002</c:v>
                </c:pt>
                <c:pt idx="182">
                  <c:v>357.16800000000001</c:v>
                </c:pt>
                <c:pt idx="183">
                  <c:v>359.13099999999997</c:v>
                </c:pt>
                <c:pt idx="184">
                  <c:v>361.09300000000002</c:v>
                </c:pt>
                <c:pt idx="185">
                  <c:v>363.05599999999998</c:v>
                </c:pt>
                <c:pt idx="186">
                  <c:v>365.01800000000003</c:v>
                </c:pt>
                <c:pt idx="187">
                  <c:v>366.98099999999999</c:v>
                </c:pt>
                <c:pt idx="188">
                  <c:v>368.94300000000004</c:v>
                </c:pt>
                <c:pt idx="189">
                  <c:v>370.90600000000001</c:v>
                </c:pt>
                <c:pt idx="190">
                  <c:v>372.86799999999999</c:v>
                </c:pt>
                <c:pt idx="191">
                  <c:v>374.83100000000002</c:v>
                </c:pt>
                <c:pt idx="192">
                  <c:v>376.79300000000001</c:v>
                </c:pt>
                <c:pt idx="193">
                  <c:v>378.755</c:v>
                </c:pt>
                <c:pt idx="194">
                  <c:v>380.71800000000002</c:v>
                </c:pt>
                <c:pt idx="195">
                  <c:v>382.68</c:v>
                </c:pt>
                <c:pt idx="196">
                  <c:v>384.64300000000003</c:v>
                </c:pt>
                <c:pt idx="197">
                  <c:v>386.60499999999996</c:v>
                </c:pt>
                <c:pt idx="198">
                  <c:v>388.56800000000004</c:v>
                </c:pt>
                <c:pt idx="199">
                  <c:v>390.53</c:v>
                </c:pt>
                <c:pt idx="200">
                  <c:v>392.49299999999999</c:v>
                </c:pt>
                <c:pt idx="201">
                  <c:v>394.45499999999998</c:v>
                </c:pt>
                <c:pt idx="202">
                  <c:v>396.41800000000001</c:v>
                </c:pt>
                <c:pt idx="203">
                  <c:v>398.38</c:v>
                </c:pt>
                <c:pt idx="204">
                  <c:v>400.34300000000002</c:v>
                </c:pt>
                <c:pt idx="205">
                  <c:v>402.30500000000001</c:v>
                </c:pt>
                <c:pt idx="206">
                  <c:v>404.267</c:v>
                </c:pt>
                <c:pt idx="207">
                  <c:v>406.22999999999996</c:v>
                </c:pt>
                <c:pt idx="208">
                  <c:v>408.19200000000001</c:v>
                </c:pt>
                <c:pt idx="209">
                  <c:v>410.15499999999997</c:v>
                </c:pt>
                <c:pt idx="210">
                  <c:v>412.11700000000002</c:v>
                </c:pt>
                <c:pt idx="211">
                  <c:v>414.08</c:v>
                </c:pt>
                <c:pt idx="212">
                  <c:v>416.04200000000003</c:v>
                </c:pt>
                <c:pt idx="213">
                  <c:v>418.005</c:v>
                </c:pt>
                <c:pt idx="214">
                  <c:v>419.96699999999998</c:v>
                </c:pt>
                <c:pt idx="215">
                  <c:v>421.93</c:v>
                </c:pt>
                <c:pt idx="216">
                  <c:v>423.892</c:v>
                </c:pt>
                <c:pt idx="217">
                  <c:v>425.85499999999996</c:v>
                </c:pt>
                <c:pt idx="218">
                  <c:v>427.81700000000001</c:v>
                </c:pt>
                <c:pt idx="219">
                  <c:v>429.779</c:v>
                </c:pt>
                <c:pt idx="220">
                  <c:v>431.74200000000002</c:v>
                </c:pt>
                <c:pt idx="221">
                  <c:v>433.70399999999995</c:v>
                </c:pt>
                <c:pt idx="222">
                  <c:v>435.66700000000003</c:v>
                </c:pt>
                <c:pt idx="223">
                  <c:v>437.62899999999996</c:v>
                </c:pt>
                <c:pt idx="224">
                  <c:v>439.59199999999998</c:v>
                </c:pt>
                <c:pt idx="225">
                  <c:v>441.55399999999997</c:v>
                </c:pt>
                <c:pt idx="226">
                  <c:v>443.517</c:v>
                </c:pt>
                <c:pt idx="227">
                  <c:v>445.47900000000004</c:v>
                </c:pt>
                <c:pt idx="228">
                  <c:v>447.44200000000001</c:v>
                </c:pt>
                <c:pt idx="229">
                  <c:v>449.40400000000005</c:v>
                </c:pt>
                <c:pt idx="230">
                  <c:v>451.36700000000002</c:v>
                </c:pt>
                <c:pt idx="231">
                  <c:v>453.32900000000001</c:v>
                </c:pt>
                <c:pt idx="232">
                  <c:v>455.29199999999997</c:v>
                </c:pt>
                <c:pt idx="233">
                  <c:v>457.25400000000002</c:v>
                </c:pt>
                <c:pt idx="234">
                  <c:v>459.21600000000001</c:v>
                </c:pt>
                <c:pt idx="235">
                  <c:v>461.17900000000003</c:v>
                </c:pt>
                <c:pt idx="236">
                  <c:v>463.14100000000002</c:v>
                </c:pt>
                <c:pt idx="237">
                  <c:v>465.10400000000004</c:v>
                </c:pt>
                <c:pt idx="238">
                  <c:v>467.06599999999997</c:v>
                </c:pt>
                <c:pt idx="239">
                  <c:v>469.029</c:v>
                </c:pt>
                <c:pt idx="240">
                  <c:v>470.99099999999999</c:v>
                </c:pt>
                <c:pt idx="241">
                  <c:v>472.95400000000001</c:v>
                </c:pt>
                <c:pt idx="242">
                  <c:v>474.916</c:v>
                </c:pt>
                <c:pt idx="243">
                  <c:v>476.87900000000002</c:v>
                </c:pt>
                <c:pt idx="244">
                  <c:v>478.84100000000001</c:v>
                </c:pt>
                <c:pt idx="245">
                  <c:v>480.80400000000003</c:v>
                </c:pt>
                <c:pt idx="246">
                  <c:v>482.76599999999996</c:v>
                </c:pt>
                <c:pt idx="247">
                  <c:v>484.72800000000001</c:v>
                </c:pt>
                <c:pt idx="248">
                  <c:v>486.69099999999997</c:v>
                </c:pt>
                <c:pt idx="249">
                  <c:v>488.65300000000002</c:v>
                </c:pt>
                <c:pt idx="250">
                  <c:v>490.61599999999999</c:v>
                </c:pt>
                <c:pt idx="251">
                  <c:v>492.57800000000003</c:v>
                </c:pt>
                <c:pt idx="252">
                  <c:v>494.541</c:v>
                </c:pt>
                <c:pt idx="253">
                  <c:v>496.50300000000004</c:v>
                </c:pt>
                <c:pt idx="254">
                  <c:v>498.46600000000001</c:v>
                </c:pt>
                <c:pt idx="255">
                  <c:v>500.428</c:v>
                </c:pt>
                <c:pt idx="256">
                  <c:v>502.39100000000002</c:v>
                </c:pt>
                <c:pt idx="257">
                  <c:v>504.35300000000007</c:v>
                </c:pt>
                <c:pt idx="258">
                  <c:v>506.31599999999997</c:v>
                </c:pt>
                <c:pt idx="259">
                  <c:v>508.27800000000002</c:v>
                </c:pt>
                <c:pt idx="260">
                  <c:v>510.24</c:v>
                </c:pt>
                <c:pt idx="261">
                  <c:v>512.20299999999997</c:v>
                </c:pt>
                <c:pt idx="262">
                  <c:v>514.16499999999996</c:v>
                </c:pt>
                <c:pt idx="263">
                  <c:v>516.12800000000004</c:v>
                </c:pt>
                <c:pt idx="264">
                  <c:v>518.09</c:v>
                </c:pt>
                <c:pt idx="265">
                  <c:v>520.053</c:v>
                </c:pt>
                <c:pt idx="266">
                  <c:v>522.01499999999999</c:v>
                </c:pt>
                <c:pt idx="267">
                  <c:v>523.97800000000007</c:v>
                </c:pt>
                <c:pt idx="268">
                  <c:v>525.93999999999994</c:v>
                </c:pt>
                <c:pt idx="269">
                  <c:v>527.90300000000002</c:v>
                </c:pt>
                <c:pt idx="270">
                  <c:v>529.86500000000001</c:v>
                </c:pt>
                <c:pt idx="271">
                  <c:v>531.82799999999997</c:v>
                </c:pt>
                <c:pt idx="272">
                  <c:v>533.79</c:v>
                </c:pt>
                <c:pt idx="273">
                  <c:v>535.75300000000004</c:v>
                </c:pt>
                <c:pt idx="274">
                  <c:v>537.71500000000003</c:v>
                </c:pt>
                <c:pt idx="275">
                  <c:v>539.67699999999991</c:v>
                </c:pt>
                <c:pt idx="276">
                  <c:v>541.64</c:v>
                </c:pt>
                <c:pt idx="277">
                  <c:v>543.60199999999998</c:v>
                </c:pt>
                <c:pt idx="278">
                  <c:v>545.56499999999994</c:v>
                </c:pt>
                <c:pt idx="279">
                  <c:v>547.52699999999993</c:v>
                </c:pt>
                <c:pt idx="280">
                  <c:v>549.49</c:v>
                </c:pt>
                <c:pt idx="281">
                  <c:v>551.452</c:v>
                </c:pt>
                <c:pt idx="282">
                  <c:v>553.41499999999996</c:v>
                </c:pt>
                <c:pt idx="283">
                  <c:v>555.37699999999995</c:v>
                </c:pt>
                <c:pt idx="284">
                  <c:v>557.33999999999992</c:v>
                </c:pt>
                <c:pt idx="285">
                  <c:v>559.30200000000002</c:v>
                </c:pt>
                <c:pt idx="286">
                  <c:v>561.26499999999999</c:v>
                </c:pt>
                <c:pt idx="287">
                  <c:v>563.22700000000009</c:v>
                </c:pt>
                <c:pt idx="288">
                  <c:v>565.18900000000008</c:v>
                </c:pt>
                <c:pt idx="289">
                  <c:v>567.15200000000004</c:v>
                </c:pt>
                <c:pt idx="290">
                  <c:v>569.11400000000003</c:v>
                </c:pt>
                <c:pt idx="291">
                  <c:v>571.077</c:v>
                </c:pt>
                <c:pt idx="292">
                  <c:v>573.03899999999999</c:v>
                </c:pt>
                <c:pt idx="293">
                  <c:v>575.00200000000007</c:v>
                </c:pt>
                <c:pt idx="294">
                  <c:v>576.96400000000006</c:v>
                </c:pt>
                <c:pt idx="295">
                  <c:v>578.92700000000002</c:v>
                </c:pt>
                <c:pt idx="296">
                  <c:v>580.88900000000001</c:v>
                </c:pt>
                <c:pt idx="297">
                  <c:v>582.85200000000009</c:v>
                </c:pt>
                <c:pt idx="298">
                  <c:v>584.81399999999996</c:v>
                </c:pt>
                <c:pt idx="299">
                  <c:v>586.77700000000004</c:v>
                </c:pt>
                <c:pt idx="300">
                  <c:v>588.73900000000003</c:v>
                </c:pt>
                <c:pt idx="301">
                  <c:v>590.70100000000002</c:v>
                </c:pt>
                <c:pt idx="302">
                  <c:v>592.66399999999999</c:v>
                </c:pt>
                <c:pt idx="303">
                  <c:v>594.62599999999998</c:v>
                </c:pt>
                <c:pt idx="304">
                  <c:v>596.58900000000006</c:v>
                </c:pt>
                <c:pt idx="305">
                  <c:v>598.55100000000004</c:v>
                </c:pt>
                <c:pt idx="306">
                  <c:v>600.51400000000001</c:v>
                </c:pt>
                <c:pt idx="307">
                  <c:v>602.476</c:v>
                </c:pt>
                <c:pt idx="308">
                  <c:v>604.43899999999996</c:v>
                </c:pt>
                <c:pt idx="309">
                  <c:v>606.40099999999995</c:v>
                </c:pt>
                <c:pt idx="310">
                  <c:v>608.36400000000003</c:v>
                </c:pt>
                <c:pt idx="311">
                  <c:v>610.32600000000002</c:v>
                </c:pt>
                <c:pt idx="312">
                  <c:v>612.28899999999999</c:v>
                </c:pt>
                <c:pt idx="313">
                  <c:v>614.25099999999998</c:v>
                </c:pt>
                <c:pt idx="314">
                  <c:v>616.21299999999997</c:v>
                </c:pt>
                <c:pt idx="315">
                  <c:v>618.17599999999993</c:v>
                </c:pt>
                <c:pt idx="316">
                  <c:v>620.13799999999992</c:v>
                </c:pt>
                <c:pt idx="317">
                  <c:v>622.101</c:v>
                </c:pt>
                <c:pt idx="318">
                  <c:v>624.06299999999999</c:v>
                </c:pt>
                <c:pt idx="319">
                  <c:v>626.02599999999995</c:v>
                </c:pt>
                <c:pt idx="320">
                  <c:v>627.98799999999994</c:v>
                </c:pt>
                <c:pt idx="321">
                  <c:v>629.95100000000002</c:v>
                </c:pt>
                <c:pt idx="322">
                  <c:v>631.9129999999999</c:v>
                </c:pt>
                <c:pt idx="323">
                  <c:v>633.87599999999998</c:v>
                </c:pt>
                <c:pt idx="324">
                  <c:v>635.83799999999997</c:v>
                </c:pt>
                <c:pt idx="325">
                  <c:v>637.80099999999993</c:v>
                </c:pt>
                <c:pt idx="326">
                  <c:v>639.76299999999992</c:v>
                </c:pt>
                <c:pt idx="327">
                  <c:v>641.726</c:v>
                </c:pt>
                <c:pt idx="328">
                  <c:v>643.68799999999999</c:v>
                </c:pt>
                <c:pt idx="329">
                  <c:v>645.65</c:v>
                </c:pt>
                <c:pt idx="330">
                  <c:v>647.61299999999994</c:v>
                </c:pt>
                <c:pt idx="331">
                  <c:v>649.57500000000005</c:v>
                </c:pt>
                <c:pt idx="332">
                  <c:v>651.5379999999999</c:v>
                </c:pt>
                <c:pt idx="333">
                  <c:v>653.5</c:v>
                </c:pt>
                <c:pt idx="334">
                  <c:v>655.46299999999997</c:v>
                </c:pt>
                <c:pt idx="335">
                  <c:v>657.42500000000007</c:v>
                </c:pt>
                <c:pt idx="336">
                  <c:v>659.38799999999992</c:v>
                </c:pt>
                <c:pt idx="337">
                  <c:v>661.35</c:v>
                </c:pt>
                <c:pt idx="338">
                  <c:v>663.31299999999999</c:v>
                </c:pt>
                <c:pt idx="339">
                  <c:v>665.27499999999998</c:v>
                </c:pt>
                <c:pt idx="340">
                  <c:v>667.23799999999994</c:v>
                </c:pt>
                <c:pt idx="341">
                  <c:v>669.2</c:v>
                </c:pt>
                <c:pt idx="342">
                  <c:v>671.16200000000003</c:v>
                </c:pt>
                <c:pt idx="343">
                  <c:v>673.125</c:v>
                </c:pt>
                <c:pt idx="344">
                  <c:v>675.08699999999999</c:v>
                </c:pt>
                <c:pt idx="345">
                  <c:v>677.05000000000007</c:v>
                </c:pt>
                <c:pt idx="346">
                  <c:v>679.01199999999994</c:v>
                </c:pt>
                <c:pt idx="347">
                  <c:v>680.97500000000002</c:v>
                </c:pt>
                <c:pt idx="348">
                  <c:v>682.93700000000001</c:v>
                </c:pt>
                <c:pt idx="349">
                  <c:v>684.9</c:v>
                </c:pt>
                <c:pt idx="350">
                  <c:v>686.86199999999997</c:v>
                </c:pt>
                <c:pt idx="351">
                  <c:v>688.82500000000005</c:v>
                </c:pt>
                <c:pt idx="352">
                  <c:v>690.78700000000003</c:v>
                </c:pt>
                <c:pt idx="353">
                  <c:v>692.75</c:v>
                </c:pt>
                <c:pt idx="354">
                  <c:v>694.71199999999999</c:v>
                </c:pt>
                <c:pt idx="355">
                  <c:v>696.67399999999998</c:v>
                </c:pt>
                <c:pt idx="356">
                  <c:v>698.63699999999994</c:v>
                </c:pt>
                <c:pt idx="357">
                  <c:v>700.59899999999993</c:v>
                </c:pt>
                <c:pt idx="358">
                  <c:v>702.56200000000001</c:v>
                </c:pt>
                <c:pt idx="359">
                  <c:v>704.524</c:v>
                </c:pt>
                <c:pt idx="360">
                  <c:v>706.48699999999997</c:v>
                </c:pt>
                <c:pt idx="361">
                  <c:v>708.44899999999996</c:v>
                </c:pt>
                <c:pt idx="362">
                  <c:v>710.41200000000003</c:v>
                </c:pt>
                <c:pt idx="363">
                  <c:v>712.37399999999991</c:v>
                </c:pt>
                <c:pt idx="364">
                  <c:v>714.33699999999999</c:v>
                </c:pt>
                <c:pt idx="365">
                  <c:v>716.29899999999998</c:v>
                </c:pt>
                <c:pt idx="366">
                  <c:v>718.26199999999994</c:v>
                </c:pt>
                <c:pt idx="367">
                  <c:v>720.22399999999993</c:v>
                </c:pt>
                <c:pt idx="368">
                  <c:v>722.18700000000001</c:v>
                </c:pt>
                <c:pt idx="369">
                  <c:v>724.149</c:v>
                </c:pt>
                <c:pt idx="370">
                  <c:v>726.11099999999999</c:v>
                </c:pt>
                <c:pt idx="371">
                  <c:v>728.07399999999996</c:v>
                </c:pt>
                <c:pt idx="372">
                  <c:v>730.03600000000006</c:v>
                </c:pt>
                <c:pt idx="373">
                  <c:v>731.99899999999991</c:v>
                </c:pt>
                <c:pt idx="374">
                  <c:v>733.96100000000001</c:v>
                </c:pt>
                <c:pt idx="375">
                  <c:v>735.92399999999998</c:v>
                </c:pt>
                <c:pt idx="376">
                  <c:v>737.88600000000008</c:v>
                </c:pt>
                <c:pt idx="377">
                  <c:v>739.84899999999993</c:v>
                </c:pt>
                <c:pt idx="378">
                  <c:v>741.81100000000004</c:v>
                </c:pt>
                <c:pt idx="379">
                  <c:v>743.774</c:v>
                </c:pt>
                <c:pt idx="380">
                  <c:v>745.73599999999999</c:v>
                </c:pt>
                <c:pt idx="381">
                  <c:v>747.69899999999996</c:v>
                </c:pt>
                <c:pt idx="382">
                  <c:v>749.66100000000006</c:v>
                </c:pt>
                <c:pt idx="383">
                  <c:v>751.62300000000005</c:v>
                </c:pt>
                <c:pt idx="384">
                  <c:v>753.58600000000001</c:v>
                </c:pt>
                <c:pt idx="385">
                  <c:v>755.548</c:v>
                </c:pt>
                <c:pt idx="386">
                  <c:v>757.51100000000008</c:v>
                </c:pt>
                <c:pt idx="387">
                  <c:v>759.47299999999996</c:v>
                </c:pt>
                <c:pt idx="388">
                  <c:v>761.43600000000004</c:v>
                </c:pt>
                <c:pt idx="389">
                  <c:v>763.39800000000002</c:v>
                </c:pt>
                <c:pt idx="390">
                  <c:v>765.36099999999999</c:v>
                </c:pt>
                <c:pt idx="391">
                  <c:v>767.32299999999998</c:v>
                </c:pt>
                <c:pt idx="392">
                  <c:v>769.28600000000006</c:v>
                </c:pt>
                <c:pt idx="393">
                  <c:v>771.24800000000005</c:v>
                </c:pt>
                <c:pt idx="394">
                  <c:v>773.21100000000001</c:v>
                </c:pt>
                <c:pt idx="395">
                  <c:v>775.173</c:v>
                </c:pt>
                <c:pt idx="396">
                  <c:v>777.13499999999999</c:v>
                </c:pt>
                <c:pt idx="397">
                  <c:v>779.09799999999996</c:v>
                </c:pt>
                <c:pt idx="398">
                  <c:v>781.06</c:v>
                </c:pt>
                <c:pt idx="399">
                  <c:v>783.02300000000002</c:v>
                </c:pt>
                <c:pt idx="400">
                  <c:v>784.98500000000001</c:v>
                </c:pt>
                <c:pt idx="401">
                  <c:v>786.94799999999998</c:v>
                </c:pt>
                <c:pt idx="402">
                  <c:v>788.91</c:v>
                </c:pt>
                <c:pt idx="403">
                  <c:v>790.87300000000005</c:v>
                </c:pt>
                <c:pt idx="404">
                  <c:v>792.83499999999992</c:v>
                </c:pt>
                <c:pt idx="405">
                  <c:v>794.798</c:v>
                </c:pt>
                <c:pt idx="406">
                  <c:v>796.76</c:v>
                </c:pt>
                <c:pt idx="407">
                  <c:v>798.72299999999996</c:v>
                </c:pt>
                <c:pt idx="408">
                  <c:v>800.68499999999995</c:v>
                </c:pt>
                <c:pt idx="409">
                  <c:v>802.64800000000002</c:v>
                </c:pt>
                <c:pt idx="410">
                  <c:v>804.61</c:v>
                </c:pt>
                <c:pt idx="411">
                  <c:v>806.572</c:v>
                </c:pt>
                <c:pt idx="412">
                  <c:v>808.53499999999997</c:v>
                </c:pt>
                <c:pt idx="413">
                  <c:v>810.49700000000007</c:v>
                </c:pt>
                <c:pt idx="414">
                  <c:v>812.45999999999992</c:v>
                </c:pt>
                <c:pt idx="415">
                  <c:v>814.42200000000003</c:v>
                </c:pt>
                <c:pt idx="416">
                  <c:v>816.38499999999999</c:v>
                </c:pt>
                <c:pt idx="417">
                  <c:v>818.34700000000009</c:v>
                </c:pt>
                <c:pt idx="418">
                  <c:v>820.31</c:v>
                </c:pt>
                <c:pt idx="419">
                  <c:v>822.27200000000005</c:v>
                </c:pt>
                <c:pt idx="420">
                  <c:v>824.23500000000001</c:v>
                </c:pt>
                <c:pt idx="421">
                  <c:v>826.197</c:v>
                </c:pt>
                <c:pt idx="422">
                  <c:v>828.16</c:v>
                </c:pt>
                <c:pt idx="423">
                  <c:v>830.12200000000007</c:v>
                </c:pt>
                <c:pt idx="424">
                  <c:v>832.08400000000006</c:v>
                </c:pt>
                <c:pt idx="425">
                  <c:v>834.04700000000003</c:v>
                </c:pt>
                <c:pt idx="426">
                  <c:v>836.00900000000001</c:v>
                </c:pt>
                <c:pt idx="427">
                  <c:v>837.97200000000009</c:v>
                </c:pt>
                <c:pt idx="428">
                  <c:v>839.93399999999997</c:v>
                </c:pt>
                <c:pt idx="429">
                  <c:v>841.89700000000005</c:v>
                </c:pt>
                <c:pt idx="430">
                  <c:v>843.85900000000004</c:v>
                </c:pt>
                <c:pt idx="431">
                  <c:v>845.822</c:v>
                </c:pt>
                <c:pt idx="432">
                  <c:v>847.78399999999999</c:v>
                </c:pt>
                <c:pt idx="433">
                  <c:v>849.74700000000007</c:v>
                </c:pt>
                <c:pt idx="434">
                  <c:v>851.70900000000006</c:v>
                </c:pt>
                <c:pt idx="435">
                  <c:v>853.67200000000003</c:v>
                </c:pt>
                <c:pt idx="436">
                  <c:v>855.63400000000001</c:v>
                </c:pt>
                <c:pt idx="437">
                  <c:v>857.596</c:v>
                </c:pt>
                <c:pt idx="438">
                  <c:v>859.55899999999997</c:v>
                </c:pt>
                <c:pt idx="439">
                  <c:v>861.52099999999996</c:v>
                </c:pt>
                <c:pt idx="440">
                  <c:v>863.48400000000004</c:v>
                </c:pt>
                <c:pt idx="441">
                  <c:v>865.44600000000003</c:v>
                </c:pt>
                <c:pt idx="442">
                  <c:v>867.40899999999999</c:v>
                </c:pt>
                <c:pt idx="443">
                  <c:v>869.37099999999998</c:v>
                </c:pt>
                <c:pt idx="444">
                  <c:v>871.33400000000006</c:v>
                </c:pt>
                <c:pt idx="445">
                  <c:v>873.29599999999994</c:v>
                </c:pt>
                <c:pt idx="446">
                  <c:v>875.25900000000001</c:v>
                </c:pt>
                <c:pt idx="447">
                  <c:v>877.221</c:v>
                </c:pt>
                <c:pt idx="448">
                  <c:v>879.18399999999997</c:v>
                </c:pt>
                <c:pt idx="449">
                  <c:v>881.14599999999996</c:v>
                </c:pt>
                <c:pt idx="450">
                  <c:v>883.10900000000004</c:v>
                </c:pt>
                <c:pt idx="451">
                  <c:v>885.07100000000003</c:v>
                </c:pt>
                <c:pt idx="452">
                  <c:v>887.03300000000002</c:v>
                </c:pt>
                <c:pt idx="453">
                  <c:v>888.99599999999998</c:v>
                </c:pt>
                <c:pt idx="454">
                  <c:v>890.95800000000008</c:v>
                </c:pt>
                <c:pt idx="455">
                  <c:v>892.92099999999994</c:v>
                </c:pt>
                <c:pt idx="456">
                  <c:v>894.88300000000004</c:v>
                </c:pt>
                <c:pt idx="457">
                  <c:v>896.846</c:v>
                </c:pt>
                <c:pt idx="458">
                  <c:v>898.80800000000011</c:v>
                </c:pt>
                <c:pt idx="459">
                  <c:v>900.77099999999996</c:v>
                </c:pt>
                <c:pt idx="460">
                  <c:v>902.73300000000006</c:v>
                </c:pt>
                <c:pt idx="461">
                  <c:v>904.69599999999991</c:v>
                </c:pt>
                <c:pt idx="462">
                  <c:v>906.65800000000002</c:v>
                </c:pt>
                <c:pt idx="463">
                  <c:v>908.62099999999998</c:v>
                </c:pt>
                <c:pt idx="464">
                  <c:v>910.58300000000008</c:v>
                </c:pt>
                <c:pt idx="465">
                  <c:v>912.54500000000007</c:v>
                </c:pt>
                <c:pt idx="466">
                  <c:v>914.50800000000004</c:v>
                </c:pt>
                <c:pt idx="467">
                  <c:v>916.47</c:v>
                </c:pt>
                <c:pt idx="468">
                  <c:v>918.43300000000011</c:v>
                </c:pt>
                <c:pt idx="469">
                  <c:v>920.39499999999998</c:v>
                </c:pt>
                <c:pt idx="470">
                  <c:v>922.35800000000006</c:v>
                </c:pt>
                <c:pt idx="471">
                  <c:v>924.32</c:v>
                </c:pt>
                <c:pt idx="472">
                  <c:v>926.28300000000002</c:v>
                </c:pt>
                <c:pt idx="473">
                  <c:v>928.245</c:v>
                </c:pt>
                <c:pt idx="474">
                  <c:v>930.20800000000008</c:v>
                </c:pt>
                <c:pt idx="475">
                  <c:v>932.17000000000007</c:v>
                </c:pt>
                <c:pt idx="476">
                  <c:v>934.13300000000004</c:v>
                </c:pt>
                <c:pt idx="477">
                  <c:v>936.09500000000003</c:v>
                </c:pt>
                <c:pt idx="478">
                  <c:v>938.05700000000002</c:v>
                </c:pt>
                <c:pt idx="479">
                  <c:v>940.02</c:v>
                </c:pt>
                <c:pt idx="480">
                  <c:v>941.98199999999997</c:v>
                </c:pt>
                <c:pt idx="481">
                  <c:v>943.94500000000005</c:v>
                </c:pt>
                <c:pt idx="482">
                  <c:v>945.90700000000004</c:v>
                </c:pt>
                <c:pt idx="483">
                  <c:v>947.87</c:v>
                </c:pt>
                <c:pt idx="484">
                  <c:v>949.83199999999999</c:v>
                </c:pt>
                <c:pt idx="485">
                  <c:v>951.79499999999996</c:v>
                </c:pt>
                <c:pt idx="486">
                  <c:v>953.75699999999995</c:v>
                </c:pt>
                <c:pt idx="487">
                  <c:v>955.72</c:v>
                </c:pt>
                <c:pt idx="488">
                  <c:v>957.68200000000002</c:v>
                </c:pt>
                <c:pt idx="489">
                  <c:v>959.64499999999998</c:v>
                </c:pt>
                <c:pt idx="490">
                  <c:v>961.60699999999997</c:v>
                </c:pt>
                <c:pt idx="491">
                  <c:v>963.57</c:v>
                </c:pt>
                <c:pt idx="492">
                  <c:v>965.53199999999993</c:v>
                </c:pt>
                <c:pt idx="493">
                  <c:v>967.49399999999991</c:v>
                </c:pt>
                <c:pt idx="494">
                  <c:v>969.45699999999999</c:v>
                </c:pt>
                <c:pt idx="495">
                  <c:v>971.41899999999998</c:v>
                </c:pt>
                <c:pt idx="496">
                  <c:v>973.38199999999995</c:v>
                </c:pt>
                <c:pt idx="497">
                  <c:v>975.34399999999994</c:v>
                </c:pt>
                <c:pt idx="498">
                  <c:v>977.30700000000002</c:v>
                </c:pt>
                <c:pt idx="499">
                  <c:v>979.26899999999989</c:v>
                </c:pt>
                <c:pt idx="500">
                  <c:v>981.23199999999997</c:v>
                </c:pt>
                <c:pt idx="501">
                  <c:v>983.19399999999996</c:v>
                </c:pt>
                <c:pt idx="502">
                  <c:v>985.15699999999993</c:v>
                </c:pt>
                <c:pt idx="503">
                  <c:v>987.11899999999991</c:v>
                </c:pt>
                <c:pt idx="504">
                  <c:v>989.08199999999999</c:v>
                </c:pt>
                <c:pt idx="505">
                  <c:v>991.04399999999998</c:v>
                </c:pt>
                <c:pt idx="506">
                  <c:v>993.00600000000009</c:v>
                </c:pt>
                <c:pt idx="507">
                  <c:v>994.96899999999994</c:v>
                </c:pt>
                <c:pt idx="508">
                  <c:v>996.93100000000004</c:v>
                </c:pt>
                <c:pt idx="509">
                  <c:v>998.89400000000001</c:v>
                </c:pt>
                <c:pt idx="510">
                  <c:v>1000.8600000000001</c:v>
                </c:pt>
                <c:pt idx="511">
                  <c:v>1002.82</c:v>
                </c:pt>
                <c:pt idx="512">
                  <c:v>1004.78</c:v>
                </c:pt>
                <c:pt idx="513">
                  <c:v>1006.74</c:v>
                </c:pt>
                <c:pt idx="514">
                  <c:v>1008.71</c:v>
                </c:pt>
                <c:pt idx="515">
                  <c:v>1010.67</c:v>
                </c:pt>
                <c:pt idx="516">
                  <c:v>1012.6299999999999</c:v>
                </c:pt>
                <c:pt idx="517">
                  <c:v>1014.5900000000001</c:v>
                </c:pt>
                <c:pt idx="518">
                  <c:v>1016.56</c:v>
                </c:pt>
                <c:pt idx="519">
                  <c:v>1018.5200000000001</c:v>
                </c:pt>
                <c:pt idx="520">
                  <c:v>1020.48</c:v>
                </c:pt>
                <c:pt idx="521">
                  <c:v>1022.44</c:v>
                </c:pt>
                <c:pt idx="522">
                  <c:v>1024.4100000000001</c:v>
                </c:pt>
                <c:pt idx="523">
                  <c:v>1026.3699999999999</c:v>
                </c:pt>
                <c:pt idx="524">
                  <c:v>1028.33</c:v>
                </c:pt>
                <c:pt idx="525">
                  <c:v>1030.29</c:v>
                </c:pt>
                <c:pt idx="526">
                  <c:v>1032.26</c:v>
                </c:pt>
                <c:pt idx="527">
                  <c:v>1034.22</c:v>
                </c:pt>
                <c:pt idx="528">
                  <c:v>1036.18</c:v>
                </c:pt>
                <c:pt idx="529">
                  <c:v>1038.1400000000001</c:v>
                </c:pt>
                <c:pt idx="530">
                  <c:v>1040.1100000000001</c:v>
                </c:pt>
                <c:pt idx="531">
                  <c:v>1042.0700000000002</c:v>
                </c:pt>
                <c:pt idx="532">
                  <c:v>1044.03</c:v>
                </c:pt>
                <c:pt idx="533">
                  <c:v>1045.99</c:v>
                </c:pt>
                <c:pt idx="534">
                  <c:v>1047.96</c:v>
                </c:pt>
                <c:pt idx="535">
                  <c:v>1049.92</c:v>
                </c:pt>
                <c:pt idx="536">
                  <c:v>1051.8799999999999</c:v>
                </c:pt>
                <c:pt idx="537">
                  <c:v>1053.8400000000001</c:v>
                </c:pt>
                <c:pt idx="538">
                  <c:v>1055.81</c:v>
                </c:pt>
                <c:pt idx="539">
                  <c:v>1057.7700000000002</c:v>
                </c:pt>
                <c:pt idx="540">
                  <c:v>1059.73</c:v>
                </c:pt>
                <c:pt idx="541">
                  <c:v>1061.69</c:v>
                </c:pt>
                <c:pt idx="542">
                  <c:v>1063.6600000000001</c:v>
                </c:pt>
                <c:pt idx="543">
                  <c:v>1065.6200000000001</c:v>
                </c:pt>
                <c:pt idx="544">
                  <c:v>1067.58</c:v>
                </c:pt>
                <c:pt idx="545">
                  <c:v>1069.54</c:v>
                </c:pt>
                <c:pt idx="546">
                  <c:v>1071.51</c:v>
                </c:pt>
                <c:pt idx="547">
                  <c:v>1073.47</c:v>
                </c:pt>
                <c:pt idx="548">
                  <c:v>1075.43</c:v>
                </c:pt>
                <c:pt idx="549">
                  <c:v>1077.3900000000001</c:v>
                </c:pt>
                <c:pt idx="550">
                  <c:v>1079.3500000000001</c:v>
                </c:pt>
                <c:pt idx="551">
                  <c:v>1081.3200000000002</c:v>
                </c:pt>
                <c:pt idx="552">
                  <c:v>1083.28</c:v>
                </c:pt>
                <c:pt idx="553">
                  <c:v>1085.24</c:v>
                </c:pt>
                <c:pt idx="554">
                  <c:v>1087.2</c:v>
                </c:pt>
                <c:pt idx="555">
                  <c:v>1089.17</c:v>
                </c:pt>
                <c:pt idx="556">
                  <c:v>1091.1299999999999</c:v>
                </c:pt>
                <c:pt idx="557">
                  <c:v>1093.0899999999999</c:v>
                </c:pt>
                <c:pt idx="558">
                  <c:v>1095.0500000000002</c:v>
                </c:pt>
                <c:pt idx="559">
                  <c:v>1097.0200000000002</c:v>
                </c:pt>
                <c:pt idx="560">
                  <c:v>1098.98</c:v>
                </c:pt>
                <c:pt idx="561">
                  <c:v>1100.94</c:v>
                </c:pt>
                <c:pt idx="562">
                  <c:v>1102.9000000000001</c:v>
                </c:pt>
                <c:pt idx="563">
                  <c:v>1104.8700000000001</c:v>
                </c:pt>
                <c:pt idx="564">
                  <c:v>1106.83</c:v>
                </c:pt>
                <c:pt idx="565">
                  <c:v>1108.79</c:v>
                </c:pt>
                <c:pt idx="566">
                  <c:v>1110.75</c:v>
                </c:pt>
                <c:pt idx="567">
                  <c:v>1112.72</c:v>
                </c:pt>
                <c:pt idx="568">
                  <c:v>1114.6799999999998</c:v>
                </c:pt>
                <c:pt idx="569">
                  <c:v>1116.6400000000001</c:v>
                </c:pt>
                <c:pt idx="570">
                  <c:v>1118.6000000000001</c:v>
                </c:pt>
                <c:pt idx="571">
                  <c:v>1120.5700000000002</c:v>
                </c:pt>
                <c:pt idx="572">
                  <c:v>1122.53</c:v>
                </c:pt>
                <c:pt idx="573">
                  <c:v>1124.49</c:v>
                </c:pt>
                <c:pt idx="574">
                  <c:v>1126.45</c:v>
                </c:pt>
                <c:pt idx="575">
                  <c:v>1128.42</c:v>
                </c:pt>
                <c:pt idx="576">
                  <c:v>1130.3799999999999</c:v>
                </c:pt>
                <c:pt idx="577">
                  <c:v>1132.3399999999999</c:v>
                </c:pt>
                <c:pt idx="578">
                  <c:v>1134.3000000000002</c:v>
                </c:pt>
                <c:pt idx="579">
                  <c:v>1136.27</c:v>
                </c:pt>
                <c:pt idx="580">
                  <c:v>1138.23</c:v>
                </c:pt>
                <c:pt idx="581">
                  <c:v>1140.19</c:v>
                </c:pt>
                <c:pt idx="582">
                  <c:v>1142.1500000000001</c:v>
                </c:pt>
                <c:pt idx="583">
                  <c:v>1144.1200000000001</c:v>
                </c:pt>
                <c:pt idx="584">
                  <c:v>1146.08</c:v>
                </c:pt>
                <c:pt idx="585">
                  <c:v>1148.04</c:v>
                </c:pt>
                <c:pt idx="586">
                  <c:v>1150</c:v>
                </c:pt>
                <c:pt idx="587">
                  <c:v>1151.97</c:v>
                </c:pt>
                <c:pt idx="588">
                  <c:v>1153.9299999999998</c:v>
                </c:pt>
                <c:pt idx="589">
                  <c:v>1155.8900000000001</c:v>
                </c:pt>
                <c:pt idx="590">
                  <c:v>1157.8500000000001</c:v>
                </c:pt>
                <c:pt idx="591">
                  <c:v>1159.8200000000002</c:v>
                </c:pt>
                <c:pt idx="592">
                  <c:v>1161.78</c:v>
                </c:pt>
                <c:pt idx="593">
                  <c:v>1163.74</c:v>
                </c:pt>
                <c:pt idx="594">
                  <c:v>1165.7</c:v>
                </c:pt>
                <c:pt idx="595">
                  <c:v>1167.67</c:v>
                </c:pt>
                <c:pt idx="596">
                  <c:v>1169.6299999999999</c:v>
                </c:pt>
                <c:pt idx="597">
                  <c:v>1171.5899999999999</c:v>
                </c:pt>
                <c:pt idx="598">
                  <c:v>1173.5500000000002</c:v>
                </c:pt>
                <c:pt idx="599">
                  <c:v>1175.52</c:v>
                </c:pt>
                <c:pt idx="600">
                  <c:v>1177.48</c:v>
                </c:pt>
                <c:pt idx="601">
                  <c:v>1179.44</c:v>
                </c:pt>
                <c:pt idx="602">
                  <c:v>1181.4000000000001</c:v>
                </c:pt>
                <c:pt idx="603">
                  <c:v>1183.3700000000001</c:v>
                </c:pt>
                <c:pt idx="604">
                  <c:v>1185.33</c:v>
                </c:pt>
                <c:pt idx="605">
                  <c:v>1187.29</c:v>
                </c:pt>
                <c:pt idx="606">
                  <c:v>1189.25</c:v>
                </c:pt>
                <c:pt idx="607">
                  <c:v>1191.22</c:v>
                </c:pt>
                <c:pt idx="608">
                  <c:v>1193.1799999999998</c:v>
                </c:pt>
                <c:pt idx="609">
                  <c:v>1195.1400000000001</c:v>
                </c:pt>
                <c:pt idx="610">
                  <c:v>1197.1000000000001</c:v>
                </c:pt>
                <c:pt idx="611">
                  <c:v>1199.0700000000002</c:v>
                </c:pt>
                <c:pt idx="612">
                  <c:v>1201.03</c:v>
                </c:pt>
                <c:pt idx="613">
                  <c:v>1202.99</c:v>
                </c:pt>
                <c:pt idx="614">
                  <c:v>1204.95</c:v>
                </c:pt>
                <c:pt idx="615">
                  <c:v>1206.9099999999999</c:v>
                </c:pt>
                <c:pt idx="616">
                  <c:v>1208.8799999999999</c:v>
                </c:pt>
                <c:pt idx="617">
                  <c:v>1210.8399999999999</c:v>
                </c:pt>
                <c:pt idx="618">
                  <c:v>1212.8000000000002</c:v>
                </c:pt>
                <c:pt idx="619">
                  <c:v>1214.76</c:v>
                </c:pt>
                <c:pt idx="620">
                  <c:v>1216.73</c:v>
                </c:pt>
                <c:pt idx="621">
                  <c:v>1218.69</c:v>
                </c:pt>
                <c:pt idx="622">
                  <c:v>1220.6500000000001</c:v>
                </c:pt>
                <c:pt idx="623">
                  <c:v>1222.6099999999999</c:v>
                </c:pt>
                <c:pt idx="624">
                  <c:v>1224.58</c:v>
                </c:pt>
                <c:pt idx="625">
                  <c:v>1226.54</c:v>
                </c:pt>
                <c:pt idx="626">
                  <c:v>1228.5</c:v>
                </c:pt>
                <c:pt idx="627">
                  <c:v>1230.46</c:v>
                </c:pt>
                <c:pt idx="628">
                  <c:v>1232.4299999999998</c:v>
                </c:pt>
                <c:pt idx="629">
                  <c:v>1234.3900000000001</c:v>
                </c:pt>
                <c:pt idx="630">
                  <c:v>1236.3500000000001</c:v>
                </c:pt>
                <c:pt idx="631">
                  <c:v>1238.31</c:v>
                </c:pt>
                <c:pt idx="632">
                  <c:v>1240.28</c:v>
                </c:pt>
                <c:pt idx="633">
                  <c:v>1242.24</c:v>
                </c:pt>
                <c:pt idx="634">
                  <c:v>1244.2</c:v>
                </c:pt>
                <c:pt idx="635">
                  <c:v>1246.1599999999999</c:v>
                </c:pt>
                <c:pt idx="636">
                  <c:v>1248.1299999999999</c:v>
                </c:pt>
                <c:pt idx="637">
                  <c:v>1250.0899999999999</c:v>
                </c:pt>
                <c:pt idx="638">
                  <c:v>1252.0500000000002</c:v>
                </c:pt>
                <c:pt idx="639">
                  <c:v>1254.01</c:v>
                </c:pt>
              </c:numCache>
            </c:numRef>
          </c:xVal>
          <c:yVal>
            <c:numRef>
              <c:f>'8-MUMPs95.RS.P2.0deg.500.third.'!$C$4:$C$643</c:f>
              <c:numCache>
                <c:formatCode>General</c:formatCode>
                <c:ptCount val="640"/>
                <c:pt idx="0">
                  <c:v>-0.63461100000000004</c:v>
                </c:pt>
                <c:pt idx="1">
                  <c:v>-0.63256699999999999</c:v>
                </c:pt>
                <c:pt idx="2">
                  <c:v>-0.63511399999999996</c:v>
                </c:pt>
                <c:pt idx="3">
                  <c:v>-0.63565199999999999</c:v>
                </c:pt>
                <c:pt idx="4">
                  <c:v>-0.63857699999999995</c:v>
                </c:pt>
                <c:pt idx="5">
                  <c:v>-0.64115999999999995</c:v>
                </c:pt>
                <c:pt idx="6">
                  <c:v>-0.64408699999999997</c:v>
                </c:pt>
                <c:pt idx="7">
                  <c:v>-0.64591100000000001</c:v>
                </c:pt>
                <c:pt idx="8">
                  <c:v>-0.64482499999999998</c:v>
                </c:pt>
                <c:pt idx="9">
                  <c:v>-0.64046000000000003</c:v>
                </c:pt>
                <c:pt idx="10">
                  <c:v>-0.63131999999999999</c:v>
                </c:pt>
                <c:pt idx="11">
                  <c:v>-0.63305599999999995</c:v>
                </c:pt>
                <c:pt idx="12">
                  <c:v>-0.63208200000000003</c:v>
                </c:pt>
                <c:pt idx="13">
                  <c:v>-0.63668199999999997</c:v>
                </c:pt>
                <c:pt idx="14">
                  <c:v>-0.63415999999999995</c:v>
                </c:pt>
                <c:pt idx="15">
                  <c:v>-0.63177300000000003</c:v>
                </c:pt>
                <c:pt idx="16">
                  <c:v>-0.63434699999999999</c:v>
                </c:pt>
                <c:pt idx="17">
                  <c:v>-0.63475899999999996</c:v>
                </c:pt>
                <c:pt idx="18">
                  <c:v>-0.63617599999999996</c:v>
                </c:pt>
                <c:pt idx="19">
                  <c:v>-0.63723099999999999</c:v>
                </c:pt>
                <c:pt idx="20">
                  <c:v>-0.64121799999999995</c:v>
                </c:pt>
                <c:pt idx="21">
                  <c:v>-0.64749500000000004</c:v>
                </c:pt>
                <c:pt idx="22">
                  <c:v>-0.65322800000000003</c:v>
                </c:pt>
                <c:pt idx="23">
                  <c:v>-0.650142</c:v>
                </c:pt>
                <c:pt idx="24">
                  <c:v>-0.648262</c:v>
                </c:pt>
                <c:pt idx="25">
                  <c:v>-0.64361400000000002</c:v>
                </c:pt>
                <c:pt idx="26">
                  <c:v>-0.64380999999999999</c:v>
                </c:pt>
                <c:pt idx="27">
                  <c:v>-0.64293599999999995</c:v>
                </c:pt>
                <c:pt idx="28">
                  <c:v>-0.64622500000000005</c:v>
                </c:pt>
                <c:pt idx="29">
                  <c:v>-0.64517500000000005</c:v>
                </c:pt>
                <c:pt idx="30">
                  <c:v>-0.64198999999999995</c:v>
                </c:pt>
                <c:pt idx="31">
                  <c:v>-0.64506399999999997</c:v>
                </c:pt>
                <c:pt idx="32">
                  <c:v>-0.64879200000000004</c:v>
                </c:pt>
                <c:pt idx="33">
                  <c:v>-0.65790800000000005</c:v>
                </c:pt>
                <c:pt idx="34">
                  <c:v>-0.65479299999999996</c:v>
                </c:pt>
                <c:pt idx="35">
                  <c:v>-0.64859</c:v>
                </c:pt>
                <c:pt idx="36">
                  <c:v>-0.65203</c:v>
                </c:pt>
                <c:pt idx="37">
                  <c:v>-0.65493599999999996</c:v>
                </c:pt>
                <c:pt idx="38">
                  <c:v>-0.65432800000000002</c:v>
                </c:pt>
                <c:pt idx="39">
                  <c:v>-0.65391600000000005</c:v>
                </c:pt>
                <c:pt idx="40">
                  <c:v>-0.65205599999999997</c:v>
                </c:pt>
                <c:pt idx="41">
                  <c:v>-0.64465899999999998</c:v>
                </c:pt>
                <c:pt idx="42">
                  <c:v>-0.64312100000000005</c:v>
                </c:pt>
                <c:pt idx="43">
                  <c:v>-0.64337</c:v>
                </c:pt>
                <c:pt idx="44">
                  <c:v>-0.64657799999999999</c:v>
                </c:pt>
                <c:pt idx="45">
                  <c:v>-0.654474</c:v>
                </c:pt>
                <c:pt idx="46">
                  <c:v>-0.65076100000000003</c:v>
                </c:pt>
                <c:pt idx="47">
                  <c:v>-0.65339100000000006</c:v>
                </c:pt>
                <c:pt idx="48">
                  <c:v>-0.64990499999999995</c:v>
                </c:pt>
                <c:pt idx="49">
                  <c:v>-0.65104499999999998</c:v>
                </c:pt>
                <c:pt idx="50">
                  <c:v>-0.64914799999999995</c:v>
                </c:pt>
                <c:pt idx="51">
                  <c:v>-0.65349699999999999</c:v>
                </c:pt>
                <c:pt idx="52">
                  <c:v>-0.65464</c:v>
                </c:pt>
                <c:pt idx="53">
                  <c:v>-0.65760399999999997</c:v>
                </c:pt>
                <c:pt idx="54">
                  <c:v>-0.65229199999999998</c:v>
                </c:pt>
                <c:pt idx="55">
                  <c:v>-0.64872300000000005</c:v>
                </c:pt>
                <c:pt idx="56">
                  <c:v>-0.64661299999999999</c:v>
                </c:pt>
                <c:pt idx="57">
                  <c:v>-0.65271999999999997</c:v>
                </c:pt>
                <c:pt idx="58">
                  <c:v>-0.65606500000000001</c:v>
                </c:pt>
                <c:pt idx="59">
                  <c:v>-0.65746099999999996</c:v>
                </c:pt>
                <c:pt idx="60">
                  <c:v>-0.660806</c:v>
                </c:pt>
                <c:pt idx="61">
                  <c:v>-0.66148099999999999</c:v>
                </c:pt>
                <c:pt idx="62">
                  <c:v>-0.66477200000000003</c:v>
                </c:pt>
                <c:pt idx="63">
                  <c:v>-0.66305800000000004</c:v>
                </c:pt>
                <c:pt idx="64">
                  <c:v>-0.66010000000000002</c:v>
                </c:pt>
                <c:pt idx="65">
                  <c:v>-0.65489699999999995</c:v>
                </c:pt>
                <c:pt idx="66">
                  <c:v>-0.65990700000000002</c:v>
                </c:pt>
                <c:pt idx="67">
                  <c:v>-0.66150900000000001</c:v>
                </c:pt>
                <c:pt idx="68">
                  <c:v>-0.66145299999999996</c:v>
                </c:pt>
                <c:pt idx="69">
                  <c:v>-0.65568000000000004</c:v>
                </c:pt>
                <c:pt idx="70">
                  <c:v>-0.65893699999999999</c:v>
                </c:pt>
                <c:pt idx="71">
                  <c:v>-0.66112700000000002</c:v>
                </c:pt>
                <c:pt idx="72">
                  <c:v>-0.66320500000000004</c:v>
                </c:pt>
                <c:pt idx="73">
                  <c:v>-0.66375200000000001</c:v>
                </c:pt>
                <c:pt idx="74">
                  <c:v>-0.65810999999999997</c:v>
                </c:pt>
                <c:pt idx="75">
                  <c:v>-0.65803500000000004</c:v>
                </c:pt>
                <c:pt idx="76">
                  <c:v>-0.65895800000000004</c:v>
                </c:pt>
                <c:pt idx="77">
                  <c:v>-0.65868499999999996</c:v>
                </c:pt>
                <c:pt idx="78">
                  <c:v>-0.66432000000000002</c:v>
                </c:pt>
                <c:pt idx="79">
                  <c:v>-0.66802799999999996</c:v>
                </c:pt>
                <c:pt idx="80">
                  <c:v>-0.66939099999999996</c:v>
                </c:pt>
                <c:pt idx="81">
                  <c:v>-0.66632999999999998</c:v>
                </c:pt>
                <c:pt idx="82">
                  <c:v>-0.66768799999999995</c:v>
                </c:pt>
                <c:pt idx="83">
                  <c:v>-0.66822000000000004</c:v>
                </c:pt>
                <c:pt idx="84">
                  <c:v>-0.666265</c:v>
                </c:pt>
                <c:pt idx="85">
                  <c:v>-0.66952699999999998</c:v>
                </c:pt>
                <c:pt idx="86">
                  <c:v>-0.66552500000000003</c:v>
                </c:pt>
                <c:pt idx="87">
                  <c:v>-0.66725400000000001</c:v>
                </c:pt>
                <c:pt idx="88">
                  <c:v>-0.67121900000000001</c:v>
                </c:pt>
                <c:pt idx="89">
                  <c:v>-0.66786000000000001</c:v>
                </c:pt>
                <c:pt idx="90">
                  <c:v>-0.67438200000000004</c:v>
                </c:pt>
                <c:pt idx="91">
                  <c:v>-0.69416199999999995</c:v>
                </c:pt>
                <c:pt idx="92">
                  <c:v>-0.14058300000000001</c:v>
                </c:pt>
                <c:pt idx="93">
                  <c:v>2.63866E-2</c:v>
                </c:pt>
                <c:pt idx="94">
                  <c:v>1.32222E-2</c:v>
                </c:pt>
                <c:pt idx="95">
                  <c:v>1.2786099999999999E-3</c:v>
                </c:pt>
                <c:pt idx="96">
                  <c:v>5.4346899999999998E-4</c:v>
                </c:pt>
                <c:pt idx="97">
                  <c:v>7.5890899999999997E-3</c:v>
                </c:pt>
                <c:pt idx="98">
                  <c:v>1.01022E-4</c:v>
                </c:pt>
                <c:pt idx="99">
                  <c:v>-2.0061900000000001E-3</c:v>
                </c:pt>
                <c:pt idx="100">
                  <c:v>2.98621E-3</c:v>
                </c:pt>
                <c:pt idx="101">
                  <c:v>2.1738000000000001E-4</c:v>
                </c:pt>
                <c:pt idx="102">
                  <c:v>4.2478699999999999E-3</c:v>
                </c:pt>
                <c:pt idx="103">
                  <c:v>7.3750300000000003E-3</c:v>
                </c:pt>
                <c:pt idx="104">
                  <c:v>1.4103299999999999E-2</c:v>
                </c:pt>
                <c:pt idx="105">
                  <c:v>1.3143500000000001E-2</c:v>
                </c:pt>
                <c:pt idx="106">
                  <c:v>5.0548700000000004E-3</c:v>
                </c:pt>
                <c:pt idx="107">
                  <c:v>-4.9795899999999999E-3</c:v>
                </c:pt>
                <c:pt idx="108">
                  <c:v>-1.2894900000000001E-2</c:v>
                </c:pt>
                <c:pt idx="109">
                  <c:v>-1.4816599999999999E-2</c:v>
                </c:pt>
                <c:pt idx="110">
                  <c:v>-2.8710400000000001E-3</c:v>
                </c:pt>
                <c:pt idx="111">
                  <c:v>8.8571899999999992E-3</c:v>
                </c:pt>
                <c:pt idx="112">
                  <c:v>1.22554E-2</c:v>
                </c:pt>
                <c:pt idx="113">
                  <c:v>5.5583000000000004E-3</c:v>
                </c:pt>
                <c:pt idx="114">
                  <c:v>-1.5244900000000001E-3</c:v>
                </c:pt>
                <c:pt idx="115">
                  <c:v>-8.7488900000000005E-3</c:v>
                </c:pt>
                <c:pt idx="116">
                  <c:v>-1.9608500000000001E-2</c:v>
                </c:pt>
                <c:pt idx="117">
                  <c:v>-1.43427E-2</c:v>
                </c:pt>
                <c:pt idx="118">
                  <c:v>-7.03829E-3</c:v>
                </c:pt>
                <c:pt idx="119">
                  <c:v>-1.0741799999999999E-4</c:v>
                </c:pt>
                <c:pt idx="120">
                  <c:v>-3.3962800000000002E-4</c:v>
                </c:pt>
                <c:pt idx="121">
                  <c:v>-5.3838499999999999E-3</c:v>
                </c:pt>
                <c:pt idx="122">
                  <c:v>7.6871600000000002E-3</c:v>
                </c:pt>
                <c:pt idx="123">
                  <c:v>2.2291399999999999E-2</c:v>
                </c:pt>
                <c:pt idx="124">
                  <c:v>-7.6302599999999998E-2</c:v>
                </c:pt>
                <c:pt idx="125">
                  <c:v>0.68939499999999998</c:v>
                </c:pt>
                <c:pt idx="126">
                  <c:v>2.3444799999999999</c:v>
                </c:pt>
                <c:pt idx="127">
                  <c:v>2.9024299999999998</c:v>
                </c:pt>
                <c:pt idx="128">
                  <c:v>2.92286</c:v>
                </c:pt>
                <c:pt idx="129">
                  <c:v>2.0956399999999999</c:v>
                </c:pt>
                <c:pt idx="130">
                  <c:v>3.0304600000000002</c:v>
                </c:pt>
                <c:pt idx="131">
                  <c:v>4.7305000000000001</c:v>
                </c:pt>
                <c:pt idx="132">
                  <c:v>4.7680699999999998</c:v>
                </c:pt>
                <c:pt idx="133">
                  <c:v>4.3579800000000004</c:v>
                </c:pt>
                <c:pt idx="134">
                  <c:v>2.8647300000000002</c:v>
                </c:pt>
                <c:pt idx="135">
                  <c:v>2.7766199999999999</c:v>
                </c:pt>
                <c:pt idx="136">
                  <c:v>2.7774200000000002</c:v>
                </c:pt>
                <c:pt idx="137">
                  <c:v>2.78491</c:v>
                </c:pt>
                <c:pt idx="138">
                  <c:v>2.7901600000000002</c:v>
                </c:pt>
                <c:pt idx="139">
                  <c:v>2.7939799999999999</c:v>
                </c:pt>
                <c:pt idx="140">
                  <c:v>2.79095</c:v>
                </c:pt>
                <c:pt idx="141">
                  <c:v>2.7862800000000001</c:v>
                </c:pt>
                <c:pt idx="142">
                  <c:v>2.7831700000000001</c:v>
                </c:pt>
                <c:pt idx="143">
                  <c:v>2.7877200000000002</c:v>
                </c:pt>
                <c:pt idx="144">
                  <c:v>2.7881999999999998</c:v>
                </c:pt>
                <c:pt idx="145">
                  <c:v>2.7900100000000001</c:v>
                </c:pt>
                <c:pt idx="146">
                  <c:v>2.7881100000000001</c:v>
                </c:pt>
                <c:pt idx="147">
                  <c:v>2.7903600000000002</c:v>
                </c:pt>
                <c:pt idx="148">
                  <c:v>2.7897599999999998</c:v>
                </c:pt>
                <c:pt idx="149">
                  <c:v>2.7895699999999999</c:v>
                </c:pt>
                <c:pt idx="150">
                  <c:v>2.7857699999999999</c:v>
                </c:pt>
                <c:pt idx="151">
                  <c:v>2.7804500000000001</c:v>
                </c:pt>
                <c:pt idx="152">
                  <c:v>2.77549</c:v>
                </c:pt>
                <c:pt idx="153">
                  <c:v>2.7760400000000001</c:v>
                </c:pt>
                <c:pt idx="154">
                  <c:v>2.7742100000000001</c:v>
                </c:pt>
                <c:pt idx="155">
                  <c:v>2.7749899999999998</c:v>
                </c:pt>
                <c:pt idx="156">
                  <c:v>2.77264</c:v>
                </c:pt>
                <c:pt idx="157">
                  <c:v>2.98889</c:v>
                </c:pt>
                <c:pt idx="158">
                  <c:v>4.4713000000000003</c:v>
                </c:pt>
                <c:pt idx="159">
                  <c:v>4.75068</c:v>
                </c:pt>
                <c:pt idx="160">
                  <c:v>3.9243399999999999</c:v>
                </c:pt>
                <c:pt idx="161">
                  <c:v>2.2864599999999999</c:v>
                </c:pt>
                <c:pt idx="162">
                  <c:v>2.74255</c:v>
                </c:pt>
                <c:pt idx="163">
                  <c:v>2.8992300000000002</c:v>
                </c:pt>
                <c:pt idx="164">
                  <c:v>2.8298399999999999</c:v>
                </c:pt>
                <c:pt idx="165">
                  <c:v>2.8316699999999999</c:v>
                </c:pt>
                <c:pt idx="166">
                  <c:v>2.8406199999999999</c:v>
                </c:pt>
                <c:pt idx="167">
                  <c:v>2.8699499999999998</c:v>
                </c:pt>
                <c:pt idx="168">
                  <c:v>2.8821500000000002</c:v>
                </c:pt>
                <c:pt idx="169">
                  <c:v>2.8795199999999999</c:v>
                </c:pt>
                <c:pt idx="170">
                  <c:v>2.8730500000000001</c:v>
                </c:pt>
                <c:pt idx="171">
                  <c:v>2.8627699999999998</c:v>
                </c:pt>
                <c:pt idx="172">
                  <c:v>2.8554200000000001</c:v>
                </c:pt>
                <c:pt idx="173">
                  <c:v>2.8247499999999999</c:v>
                </c:pt>
                <c:pt idx="174">
                  <c:v>2.7762799999999999</c:v>
                </c:pt>
                <c:pt idx="175">
                  <c:v>2.7483399999999998</c:v>
                </c:pt>
                <c:pt idx="176">
                  <c:v>2.7571500000000002</c:v>
                </c:pt>
                <c:pt idx="177">
                  <c:v>2.7408700000000001</c:v>
                </c:pt>
                <c:pt idx="178">
                  <c:v>2.758</c:v>
                </c:pt>
                <c:pt idx="179">
                  <c:v>2.78965</c:v>
                </c:pt>
                <c:pt idx="180">
                  <c:v>2.8442400000000001</c:v>
                </c:pt>
                <c:pt idx="181">
                  <c:v>3.0267200000000001</c:v>
                </c:pt>
                <c:pt idx="182">
                  <c:v>2.1306099999999999</c:v>
                </c:pt>
                <c:pt idx="183">
                  <c:v>1.84988</c:v>
                </c:pt>
                <c:pt idx="184">
                  <c:v>1.7367300000000001</c:v>
                </c:pt>
                <c:pt idx="185">
                  <c:v>1.6611800000000001</c:v>
                </c:pt>
                <c:pt idx="186">
                  <c:v>1.7128000000000001</c:v>
                </c:pt>
                <c:pt idx="187">
                  <c:v>1.80901</c:v>
                </c:pt>
                <c:pt idx="188">
                  <c:v>1.8526</c:v>
                </c:pt>
                <c:pt idx="189">
                  <c:v>1.85683</c:v>
                </c:pt>
                <c:pt idx="190">
                  <c:v>1.7778</c:v>
                </c:pt>
                <c:pt idx="191">
                  <c:v>1.6389</c:v>
                </c:pt>
                <c:pt idx="192">
                  <c:v>1.48437</c:v>
                </c:pt>
                <c:pt idx="193">
                  <c:v>1.5128600000000001</c:v>
                </c:pt>
                <c:pt idx="194">
                  <c:v>1.6553</c:v>
                </c:pt>
                <c:pt idx="195">
                  <c:v>1.71865</c:v>
                </c:pt>
                <c:pt idx="196">
                  <c:v>1.7194400000000001</c:v>
                </c:pt>
                <c:pt idx="197">
                  <c:v>1.6231899999999999</c:v>
                </c:pt>
                <c:pt idx="198">
                  <c:v>1.4205000000000001</c:v>
                </c:pt>
                <c:pt idx="199">
                  <c:v>1.3357699999999999</c:v>
                </c:pt>
                <c:pt idx="200">
                  <c:v>1.43377</c:v>
                </c:pt>
                <c:pt idx="201">
                  <c:v>1.5406899999999999</c:v>
                </c:pt>
                <c:pt idx="202">
                  <c:v>1.5632900000000001</c:v>
                </c:pt>
                <c:pt idx="203">
                  <c:v>1.4752000000000001</c:v>
                </c:pt>
                <c:pt idx="204">
                  <c:v>1.31894</c:v>
                </c:pt>
                <c:pt idx="205">
                  <c:v>1.1720600000000001</c:v>
                </c:pt>
                <c:pt idx="206">
                  <c:v>1.25986</c:v>
                </c:pt>
                <c:pt idx="207">
                  <c:v>1.3482799999999999</c:v>
                </c:pt>
                <c:pt idx="208">
                  <c:v>1.3702799999999999</c:v>
                </c:pt>
                <c:pt idx="209">
                  <c:v>1.29155</c:v>
                </c:pt>
                <c:pt idx="210">
                  <c:v>1.12199</c:v>
                </c:pt>
                <c:pt idx="211">
                  <c:v>1.00892</c:v>
                </c:pt>
                <c:pt idx="212">
                  <c:v>1.11249</c:v>
                </c:pt>
                <c:pt idx="213">
                  <c:v>1.2320899999999999</c:v>
                </c:pt>
                <c:pt idx="214">
                  <c:v>1.2320199999999999</c:v>
                </c:pt>
                <c:pt idx="215">
                  <c:v>1.1264099999999999</c:v>
                </c:pt>
                <c:pt idx="216">
                  <c:v>0.96177500000000005</c:v>
                </c:pt>
                <c:pt idx="217">
                  <c:v>0.90393999999999997</c:v>
                </c:pt>
                <c:pt idx="218">
                  <c:v>0.99173299999999998</c:v>
                </c:pt>
                <c:pt idx="219">
                  <c:v>1.09358</c:v>
                </c:pt>
                <c:pt idx="220">
                  <c:v>1.0490699999999999</c:v>
                </c:pt>
                <c:pt idx="221">
                  <c:v>0.90807700000000002</c:v>
                </c:pt>
                <c:pt idx="222">
                  <c:v>0.80757400000000001</c:v>
                </c:pt>
                <c:pt idx="223">
                  <c:v>0.78606699999999996</c:v>
                </c:pt>
                <c:pt idx="224">
                  <c:v>0.84072499999999994</c:v>
                </c:pt>
                <c:pt idx="225">
                  <c:v>0.88920900000000003</c:v>
                </c:pt>
                <c:pt idx="226">
                  <c:v>0.87543199999999999</c:v>
                </c:pt>
                <c:pt idx="227">
                  <c:v>0.75901600000000002</c:v>
                </c:pt>
                <c:pt idx="228">
                  <c:v>0.66981400000000002</c:v>
                </c:pt>
                <c:pt idx="229">
                  <c:v>0.63831899999999997</c:v>
                </c:pt>
                <c:pt idx="230">
                  <c:v>0.68067500000000003</c:v>
                </c:pt>
                <c:pt idx="231">
                  <c:v>0.72050899999999996</c:v>
                </c:pt>
                <c:pt idx="232">
                  <c:v>0.65460499999999999</c:v>
                </c:pt>
                <c:pt idx="233">
                  <c:v>0.60409900000000005</c:v>
                </c:pt>
                <c:pt idx="234">
                  <c:v>0.53688000000000002</c:v>
                </c:pt>
                <c:pt idx="235">
                  <c:v>0.52303200000000005</c:v>
                </c:pt>
                <c:pt idx="236">
                  <c:v>0.497448</c:v>
                </c:pt>
                <c:pt idx="237">
                  <c:v>0.52461599999999997</c:v>
                </c:pt>
                <c:pt idx="238">
                  <c:v>0.52071699999999999</c:v>
                </c:pt>
                <c:pt idx="239">
                  <c:v>0.47692000000000001</c:v>
                </c:pt>
                <c:pt idx="240">
                  <c:v>0.40551100000000001</c:v>
                </c:pt>
                <c:pt idx="241">
                  <c:v>0.37663600000000003</c:v>
                </c:pt>
                <c:pt idx="242">
                  <c:v>0.36575000000000002</c:v>
                </c:pt>
                <c:pt idx="243">
                  <c:v>0.35586200000000001</c:v>
                </c:pt>
                <c:pt idx="244">
                  <c:v>0.35146699999999997</c:v>
                </c:pt>
                <c:pt idx="245">
                  <c:v>0.38172099999999998</c:v>
                </c:pt>
                <c:pt idx="246">
                  <c:v>0.32952500000000001</c:v>
                </c:pt>
                <c:pt idx="247">
                  <c:v>0.25509199999999999</c:v>
                </c:pt>
                <c:pt idx="248">
                  <c:v>0.207701</c:v>
                </c:pt>
                <c:pt idx="249">
                  <c:v>0.20116000000000001</c:v>
                </c:pt>
                <c:pt idx="250">
                  <c:v>0.194185</c:v>
                </c:pt>
                <c:pt idx="251">
                  <c:v>0.21260799999999999</c:v>
                </c:pt>
                <c:pt idx="252">
                  <c:v>0.196821</c:v>
                </c:pt>
                <c:pt idx="253">
                  <c:v>0.13244800000000001</c:v>
                </c:pt>
                <c:pt idx="254">
                  <c:v>8.6688799999999996E-2</c:v>
                </c:pt>
                <c:pt idx="255">
                  <c:v>7.2223200000000001E-2</c:v>
                </c:pt>
                <c:pt idx="256">
                  <c:v>7.4793700000000005E-2</c:v>
                </c:pt>
                <c:pt idx="257">
                  <c:v>7.0369600000000004E-2</c:v>
                </c:pt>
                <c:pt idx="258">
                  <c:v>4.6414200000000003E-2</c:v>
                </c:pt>
                <c:pt idx="259">
                  <c:v>1.9729400000000001E-2</c:v>
                </c:pt>
                <c:pt idx="260">
                  <c:v>2.2859000000000001E-2</c:v>
                </c:pt>
                <c:pt idx="261">
                  <c:v>3.1166800000000001E-2</c:v>
                </c:pt>
                <c:pt idx="262">
                  <c:v>-2.4703300000000002E-4</c:v>
                </c:pt>
                <c:pt idx="263">
                  <c:v>-3.9131600000000002E-2</c:v>
                </c:pt>
                <c:pt idx="264">
                  <c:v>-5.4651900000000003E-2</c:v>
                </c:pt>
                <c:pt idx="265">
                  <c:v>-5.3402199999999997E-2</c:v>
                </c:pt>
                <c:pt idx="266">
                  <c:v>-6.1449299999999998E-2</c:v>
                </c:pt>
                <c:pt idx="267">
                  <c:v>-6.85394E-2</c:v>
                </c:pt>
                <c:pt idx="268">
                  <c:v>-8.6554800000000001E-2</c:v>
                </c:pt>
                <c:pt idx="269">
                  <c:v>-0.109546</c:v>
                </c:pt>
                <c:pt idx="270">
                  <c:v>-0.12767400000000001</c:v>
                </c:pt>
                <c:pt idx="271">
                  <c:v>-0.15301100000000001</c:v>
                </c:pt>
                <c:pt idx="272">
                  <c:v>-0.15395800000000001</c:v>
                </c:pt>
                <c:pt idx="273">
                  <c:v>-0.14809700000000001</c:v>
                </c:pt>
                <c:pt idx="274">
                  <c:v>-0.145206</c:v>
                </c:pt>
                <c:pt idx="275">
                  <c:v>-0.152585</c:v>
                </c:pt>
                <c:pt idx="276">
                  <c:v>-0.173093</c:v>
                </c:pt>
                <c:pt idx="277">
                  <c:v>-0.183811</c:v>
                </c:pt>
                <c:pt idx="278">
                  <c:v>-0.20130600000000001</c:v>
                </c:pt>
                <c:pt idx="279">
                  <c:v>-0.19894300000000001</c:v>
                </c:pt>
                <c:pt idx="280">
                  <c:v>-0.19217100000000001</c:v>
                </c:pt>
                <c:pt idx="281">
                  <c:v>-0.17865300000000001</c:v>
                </c:pt>
                <c:pt idx="282">
                  <c:v>-0.17616100000000001</c:v>
                </c:pt>
                <c:pt idx="283">
                  <c:v>-0.16154399999999999</c:v>
                </c:pt>
                <c:pt idx="284">
                  <c:v>-0.18024299999999999</c:v>
                </c:pt>
                <c:pt idx="285">
                  <c:v>-0.18648899999999999</c:v>
                </c:pt>
                <c:pt idx="286">
                  <c:v>-0.19395699999999999</c:v>
                </c:pt>
                <c:pt idx="287">
                  <c:v>-0.19206999999999999</c:v>
                </c:pt>
                <c:pt idx="288">
                  <c:v>-0.208872</c:v>
                </c:pt>
                <c:pt idx="289">
                  <c:v>-0.20351900000000001</c:v>
                </c:pt>
                <c:pt idx="290">
                  <c:v>-0.21923400000000001</c:v>
                </c:pt>
                <c:pt idx="291">
                  <c:v>-0.21564800000000001</c:v>
                </c:pt>
                <c:pt idx="292">
                  <c:v>-0.208458</c:v>
                </c:pt>
                <c:pt idx="293">
                  <c:v>-0.205431</c:v>
                </c:pt>
                <c:pt idx="294">
                  <c:v>-0.20980199999999999</c:v>
                </c:pt>
                <c:pt idx="295">
                  <c:v>-0.19958699999999999</c:v>
                </c:pt>
                <c:pt idx="296">
                  <c:v>-0.18058099999999999</c:v>
                </c:pt>
                <c:pt idx="297">
                  <c:v>-0.177486</c:v>
                </c:pt>
                <c:pt idx="298">
                  <c:v>-0.18835299999999999</c:v>
                </c:pt>
                <c:pt idx="299">
                  <c:v>-0.19486400000000001</c:v>
                </c:pt>
                <c:pt idx="300">
                  <c:v>-0.18051600000000001</c:v>
                </c:pt>
                <c:pt idx="301">
                  <c:v>-0.17847299999999999</c:v>
                </c:pt>
                <c:pt idx="302">
                  <c:v>-0.188249</c:v>
                </c:pt>
                <c:pt idx="303">
                  <c:v>-0.20336399999999999</c:v>
                </c:pt>
                <c:pt idx="304">
                  <c:v>-0.181142</c:v>
                </c:pt>
                <c:pt idx="305">
                  <c:v>-0.15880900000000001</c:v>
                </c:pt>
                <c:pt idx="306">
                  <c:v>-0.14344799999999999</c:v>
                </c:pt>
                <c:pt idx="307">
                  <c:v>-0.14041300000000001</c:v>
                </c:pt>
                <c:pt idx="308">
                  <c:v>-0.124918</c:v>
                </c:pt>
                <c:pt idx="309">
                  <c:v>-0.105214</c:v>
                </c:pt>
                <c:pt idx="310">
                  <c:v>-9.5379900000000004E-2</c:v>
                </c:pt>
                <c:pt idx="311">
                  <c:v>-7.8387999999999999E-2</c:v>
                </c:pt>
                <c:pt idx="312">
                  <c:v>-5.4909300000000001E-2</c:v>
                </c:pt>
                <c:pt idx="313">
                  <c:v>-4.6772399999999999E-2</c:v>
                </c:pt>
                <c:pt idx="314">
                  <c:v>-3.59914E-2</c:v>
                </c:pt>
                <c:pt idx="315">
                  <c:v>-4.4192299999999997E-2</c:v>
                </c:pt>
                <c:pt idx="316">
                  <c:v>-5.0711199999999998E-2</c:v>
                </c:pt>
                <c:pt idx="317">
                  <c:v>-1.7197499999999999E-3</c:v>
                </c:pt>
                <c:pt idx="318">
                  <c:v>5.5279500000000002E-2</c:v>
                </c:pt>
                <c:pt idx="319">
                  <c:v>7.6565800000000003E-2</c:v>
                </c:pt>
                <c:pt idx="320">
                  <c:v>0.101314</c:v>
                </c:pt>
                <c:pt idx="321">
                  <c:v>9.4011600000000001E-2</c:v>
                </c:pt>
                <c:pt idx="322">
                  <c:v>9.2099700000000007E-2</c:v>
                </c:pt>
                <c:pt idx="323">
                  <c:v>8.9206300000000002E-2</c:v>
                </c:pt>
                <c:pt idx="324">
                  <c:v>8.8520000000000001E-2</c:v>
                </c:pt>
                <c:pt idx="325">
                  <c:v>0.11300200000000001</c:v>
                </c:pt>
                <c:pt idx="326">
                  <c:v>0.160104</c:v>
                </c:pt>
                <c:pt idx="327">
                  <c:v>0.20636599999999999</c:v>
                </c:pt>
                <c:pt idx="328">
                  <c:v>0.249693</c:v>
                </c:pt>
                <c:pt idx="329">
                  <c:v>0.233323</c:v>
                </c:pt>
                <c:pt idx="330">
                  <c:v>0.235625</c:v>
                </c:pt>
                <c:pt idx="331">
                  <c:v>0.23833499999999999</c:v>
                </c:pt>
                <c:pt idx="332">
                  <c:v>0.24610599999999999</c:v>
                </c:pt>
                <c:pt idx="333">
                  <c:v>0.26427899999999999</c:v>
                </c:pt>
                <c:pt idx="334">
                  <c:v>0.34452100000000002</c:v>
                </c:pt>
                <c:pt idx="335">
                  <c:v>0.404279</c:v>
                </c:pt>
                <c:pt idx="336">
                  <c:v>0.40176899999999999</c:v>
                </c:pt>
                <c:pt idx="337">
                  <c:v>0.38015500000000002</c:v>
                </c:pt>
                <c:pt idx="338">
                  <c:v>0.41540100000000002</c:v>
                </c:pt>
                <c:pt idx="339">
                  <c:v>0.41776099999999999</c:v>
                </c:pt>
                <c:pt idx="340">
                  <c:v>0.43629400000000002</c:v>
                </c:pt>
                <c:pt idx="341">
                  <c:v>0.52381599999999995</c:v>
                </c:pt>
                <c:pt idx="342">
                  <c:v>0.56373200000000001</c:v>
                </c:pt>
                <c:pt idx="343">
                  <c:v>0.58080699999999996</c:v>
                </c:pt>
                <c:pt idx="344">
                  <c:v>0.537914</c:v>
                </c:pt>
                <c:pt idx="345">
                  <c:v>0.51403200000000004</c:v>
                </c:pt>
                <c:pt idx="346">
                  <c:v>0.55422400000000005</c:v>
                </c:pt>
                <c:pt idx="347">
                  <c:v>0.64773499999999995</c:v>
                </c:pt>
                <c:pt idx="348">
                  <c:v>0.72065699999999999</c:v>
                </c:pt>
                <c:pt idx="349">
                  <c:v>0.73521499999999995</c:v>
                </c:pt>
                <c:pt idx="350">
                  <c:v>0.68807099999999999</c:v>
                </c:pt>
                <c:pt idx="351">
                  <c:v>0.64014800000000005</c:v>
                </c:pt>
                <c:pt idx="352">
                  <c:v>0.66747699999999999</c:v>
                </c:pt>
                <c:pt idx="353">
                  <c:v>0.81317300000000003</c:v>
                </c:pt>
                <c:pt idx="354">
                  <c:v>0.89556500000000006</c:v>
                </c:pt>
                <c:pt idx="355">
                  <c:v>0.90185599999999999</c:v>
                </c:pt>
                <c:pt idx="356">
                  <c:v>0.85170500000000005</c:v>
                </c:pt>
                <c:pt idx="357">
                  <c:v>0.73928499999999997</c:v>
                </c:pt>
                <c:pt idx="358">
                  <c:v>0.84314900000000004</c:v>
                </c:pt>
                <c:pt idx="359">
                  <c:v>1.04217</c:v>
                </c:pt>
                <c:pt idx="360">
                  <c:v>1.1227499999999999</c:v>
                </c:pt>
                <c:pt idx="361">
                  <c:v>1.10379</c:v>
                </c:pt>
                <c:pt idx="362">
                  <c:v>0.99043300000000001</c:v>
                </c:pt>
                <c:pt idx="363">
                  <c:v>0.92529600000000001</c:v>
                </c:pt>
                <c:pt idx="364">
                  <c:v>1.02677</c:v>
                </c:pt>
                <c:pt idx="365">
                  <c:v>1.16825</c:v>
                </c:pt>
                <c:pt idx="366">
                  <c:v>1.2617799999999999</c:v>
                </c:pt>
                <c:pt idx="367">
                  <c:v>1.2581800000000001</c:v>
                </c:pt>
                <c:pt idx="368">
                  <c:v>1.1413199999999999</c:v>
                </c:pt>
                <c:pt idx="369">
                  <c:v>1.0588200000000001</c:v>
                </c:pt>
                <c:pt idx="370">
                  <c:v>1.23319</c:v>
                </c:pt>
                <c:pt idx="371">
                  <c:v>1.32704</c:v>
                </c:pt>
                <c:pt idx="372">
                  <c:v>1.4136200000000001</c:v>
                </c:pt>
                <c:pt idx="373">
                  <c:v>1.3903000000000001</c:v>
                </c:pt>
                <c:pt idx="374">
                  <c:v>1.2552700000000001</c:v>
                </c:pt>
                <c:pt idx="375">
                  <c:v>1.2173400000000001</c:v>
                </c:pt>
                <c:pt idx="376">
                  <c:v>1.3686799999999999</c:v>
                </c:pt>
                <c:pt idx="377">
                  <c:v>1.51938</c:v>
                </c:pt>
                <c:pt idx="378">
                  <c:v>1.6184499999999999</c:v>
                </c:pt>
                <c:pt idx="379">
                  <c:v>1.60426</c:v>
                </c:pt>
                <c:pt idx="380">
                  <c:v>1.4376500000000001</c:v>
                </c:pt>
                <c:pt idx="381">
                  <c:v>1.3455900000000001</c:v>
                </c:pt>
                <c:pt idx="382">
                  <c:v>1.4596499999999999</c:v>
                </c:pt>
                <c:pt idx="383">
                  <c:v>1.61765</c:v>
                </c:pt>
                <c:pt idx="384">
                  <c:v>1.7096100000000001</c:v>
                </c:pt>
                <c:pt idx="385">
                  <c:v>1.74884</c:v>
                </c:pt>
                <c:pt idx="386">
                  <c:v>1.6930000000000001</c:v>
                </c:pt>
                <c:pt idx="387">
                  <c:v>1.56504</c:v>
                </c:pt>
                <c:pt idx="388">
                  <c:v>1.5337499999999999</c:v>
                </c:pt>
                <c:pt idx="389">
                  <c:v>1.6635500000000001</c:v>
                </c:pt>
                <c:pt idx="390">
                  <c:v>1.81315</c:v>
                </c:pt>
                <c:pt idx="391">
                  <c:v>1.9113199999999999</c:v>
                </c:pt>
                <c:pt idx="392">
                  <c:v>1.94093</c:v>
                </c:pt>
                <c:pt idx="393">
                  <c:v>1.8734500000000001</c:v>
                </c:pt>
                <c:pt idx="394">
                  <c:v>1.74637</c:v>
                </c:pt>
                <c:pt idx="395">
                  <c:v>1.67527</c:v>
                </c:pt>
                <c:pt idx="396">
                  <c:v>1.7585200000000001</c:v>
                </c:pt>
                <c:pt idx="397">
                  <c:v>1.8715200000000001</c:v>
                </c:pt>
                <c:pt idx="398">
                  <c:v>1.9636400000000001</c:v>
                </c:pt>
                <c:pt idx="399">
                  <c:v>1.9659899999999999</c:v>
                </c:pt>
                <c:pt idx="400">
                  <c:v>1.9757499999999999</c:v>
                </c:pt>
                <c:pt idx="401">
                  <c:v>3.2050000000000001</c:v>
                </c:pt>
                <c:pt idx="402">
                  <c:v>2.9626100000000002</c:v>
                </c:pt>
                <c:pt idx="403">
                  <c:v>2.8075899999999998</c:v>
                </c:pt>
                <c:pt idx="404">
                  <c:v>2.7892299999999999</c:v>
                </c:pt>
                <c:pt idx="405">
                  <c:v>2.8427199999999999</c:v>
                </c:pt>
                <c:pt idx="406">
                  <c:v>2.9239000000000002</c:v>
                </c:pt>
                <c:pt idx="407">
                  <c:v>2.9664700000000002</c:v>
                </c:pt>
                <c:pt idx="408">
                  <c:v>2.98604</c:v>
                </c:pt>
                <c:pt idx="409">
                  <c:v>2.98943</c:v>
                </c:pt>
                <c:pt idx="410">
                  <c:v>3.0110199999999998</c:v>
                </c:pt>
                <c:pt idx="411">
                  <c:v>3.0243000000000002</c:v>
                </c:pt>
                <c:pt idx="412">
                  <c:v>3.0266600000000001</c:v>
                </c:pt>
                <c:pt idx="413">
                  <c:v>3.0263300000000002</c:v>
                </c:pt>
                <c:pt idx="414">
                  <c:v>3.02027</c:v>
                </c:pt>
                <c:pt idx="415">
                  <c:v>3.0141200000000001</c:v>
                </c:pt>
                <c:pt idx="416">
                  <c:v>3.0008300000000001</c:v>
                </c:pt>
                <c:pt idx="417">
                  <c:v>2.9994900000000002</c:v>
                </c:pt>
                <c:pt idx="418">
                  <c:v>2.93085</c:v>
                </c:pt>
                <c:pt idx="419">
                  <c:v>2.4011300000000002</c:v>
                </c:pt>
                <c:pt idx="420">
                  <c:v>2.46326</c:v>
                </c:pt>
                <c:pt idx="421">
                  <c:v>4.39419</c:v>
                </c:pt>
                <c:pt idx="422">
                  <c:v>4.7333800000000004</c:v>
                </c:pt>
                <c:pt idx="423">
                  <c:v>4.5421500000000004</c:v>
                </c:pt>
                <c:pt idx="424">
                  <c:v>3.1239499999999998</c:v>
                </c:pt>
                <c:pt idx="425">
                  <c:v>2.7556500000000002</c:v>
                </c:pt>
                <c:pt idx="426">
                  <c:v>2.7490299999999999</c:v>
                </c:pt>
                <c:pt idx="427">
                  <c:v>2.7498</c:v>
                </c:pt>
                <c:pt idx="428">
                  <c:v>2.7586400000000002</c:v>
                </c:pt>
                <c:pt idx="429">
                  <c:v>2.7677800000000001</c:v>
                </c:pt>
                <c:pt idx="430">
                  <c:v>2.7659099999999999</c:v>
                </c:pt>
                <c:pt idx="431">
                  <c:v>2.7614000000000001</c:v>
                </c:pt>
                <c:pt idx="432">
                  <c:v>2.7560099999999998</c:v>
                </c:pt>
                <c:pt idx="433">
                  <c:v>2.75806</c:v>
                </c:pt>
                <c:pt idx="434">
                  <c:v>2.7549600000000001</c:v>
                </c:pt>
                <c:pt idx="435">
                  <c:v>2.75726</c:v>
                </c:pt>
                <c:pt idx="436">
                  <c:v>2.7604099999999998</c:v>
                </c:pt>
                <c:pt idx="437">
                  <c:v>2.76302</c:v>
                </c:pt>
                <c:pt idx="438">
                  <c:v>2.7615500000000002</c:v>
                </c:pt>
                <c:pt idx="439">
                  <c:v>2.7633700000000001</c:v>
                </c:pt>
                <c:pt idx="440">
                  <c:v>2.76437</c:v>
                </c:pt>
                <c:pt idx="441">
                  <c:v>2.7598799999999999</c:v>
                </c:pt>
                <c:pt idx="442">
                  <c:v>2.7552500000000002</c:v>
                </c:pt>
                <c:pt idx="443">
                  <c:v>2.7528600000000001</c:v>
                </c:pt>
                <c:pt idx="444">
                  <c:v>2.7441</c:v>
                </c:pt>
                <c:pt idx="445">
                  <c:v>2.7389700000000001</c:v>
                </c:pt>
                <c:pt idx="446">
                  <c:v>2.7294499999999999</c:v>
                </c:pt>
                <c:pt idx="447">
                  <c:v>2.7709199999999998</c:v>
                </c:pt>
                <c:pt idx="448">
                  <c:v>4.0743900000000002</c:v>
                </c:pt>
                <c:pt idx="449">
                  <c:v>4.74078</c:v>
                </c:pt>
                <c:pt idx="450">
                  <c:v>4.4935700000000001</c:v>
                </c:pt>
                <c:pt idx="451">
                  <c:v>2.7642799999999998</c:v>
                </c:pt>
                <c:pt idx="452">
                  <c:v>2.91371</c:v>
                </c:pt>
                <c:pt idx="453">
                  <c:v>2.9767999999999999</c:v>
                </c:pt>
                <c:pt idx="454">
                  <c:v>2.0723099999999999</c:v>
                </c:pt>
                <c:pt idx="455">
                  <c:v>-0.16831099999999999</c:v>
                </c:pt>
                <c:pt idx="456">
                  <c:v>-0.74663400000000002</c:v>
                </c:pt>
                <c:pt idx="457">
                  <c:v>-0.77485400000000004</c:v>
                </c:pt>
                <c:pt idx="458">
                  <c:v>-0.34408100000000003</c:v>
                </c:pt>
                <c:pt idx="459">
                  <c:v>1.7784500000000002E-2</c:v>
                </c:pt>
                <c:pt idx="460">
                  <c:v>5.8676800000000001E-3</c:v>
                </c:pt>
                <c:pt idx="461">
                  <c:v>-3.2121799999999998E-3</c:v>
                </c:pt>
                <c:pt idx="462">
                  <c:v>-1.01314E-2</c:v>
                </c:pt>
                <c:pt idx="463">
                  <c:v>-8.5789400000000002E-3</c:v>
                </c:pt>
                <c:pt idx="464">
                  <c:v>-7.7149599999999999E-3</c:v>
                </c:pt>
                <c:pt idx="465">
                  <c:v>-1.34232E-2</c:v>
                </c:pt>
                <c:pt idx="466">
                  <c:v>-5.2838800000000003E-3</c:v>
                </c:pt>
                <c:pt idx="467">
                  <c:v>-8.92062E-4</c:v>
                </c:pt>
                <c:pt idx="468">
                  <c:v>1.1287800000000001E-2</c:v>
                </c:pt>
                <c:pt idx="469">
                  <c:v>-1.05131E-3</c:v>
                </c:pt>
                <c:pt idx="470">
                  <c:v>-7.9265800000000008E-3</c:v>
                </c:pt>
                <c:pt idx="471">
                  <c:v>-1.8830199999999998E-2</c:v>
                </c:pt>
                <c:pt idx="472">
                  <c:v>-1.6306000000000001E-2</c:v>
                </c:pt>
                <c:pt idx="473">
                  <c:v>-1.6623700000000002E-2</c:v>
                </c:pt>
                <c:pt idx="474">
                  <c:v>-1.2720199999999999E-2</c:v>
                </c:pt>
                <c:pt idx="475">
                  <c:v>-1.8167200000000001E-2</c:v>
                </c:pt>
                <c:pt idx="476">
                  <c:v>-1.5294E-2</c:v>
                </c:pt>
                <c:pt idx="477">
                  <c:v>-2.3669899999999998E-3</c:v>
                </c:pt>
                <c:pt idx="478">
                  <c:v>-8.7466599999999999E-3</c:v>
                </c:pt>
                <c:pt idx="479">
                  <c:v>-6.0589499999999996E-3</c:v>
                </c:pt>
                <c:pt idx="480">
                  <c:v>-8.9962400000000008E-3</c:v>
                </c:pt>
                <c:pt idx="481">
                  <c:v>6.2085600000000001E-3</c:v>
                </c:pt>
                <c:pt idx="482">
                  <c:v>5.5954899999999998E-3</c:v>
                </c:pt>
                <c:pt idx="483">
                  <c:v>-1.32373E-3</c:v>
                </c:pt>
                <c:pt idx="484">
                  <c:v>-4.96658E-3</c:v>
                </c:pt>
                <c:pt idx="485">
                  <c:v>-1.0274500000000001E-2</c:v>
                </c:pt>
                <c:pt idx="486">
                  <c:v>-2.4329600000000001E-3</c:v>
                </c:pt>
                <c:pt idx="487">
                  <c:v>2.57165E-3</c:v>
                </c:pt>
                <c:pt idx="488">
                  <c:v>-4.4354599999999996E-3</c:v>
                </c:pt>
                <c:pt idx="489">
                  <c:v>1.4038399999999999E-2</c:v>
                </c:pt>
                <c:pt idx="490">
                  <c:v>-6.1528300000000001E-2</c:v>
                </c:pt>
                <c:pt idx="491">
                  <c:v>-0.76886500000000002</c:v>
                </c:pt>
                <c:pt idx="492">
                  <c:v>-0.77057399999999998</c:v>
                </c:pt>
                <c:pt idx="493">
                  <c:v>-0.71357000000000004</c:v>
                </c:pt>
                <c:pt idx="494">
                  <c:v>-0.71793300000000004</c:v>
                </c:pt>
                <c:pt idx="495">
                  <c:v>-0.71845800000000004</c:v>
                </c:pt>
                <c:pt idx="496">
                  <c:v>-0.71429799999999999</c:v>
                </c:pt>
                <c:pt idx="497">
                  <c:v>-0.70553399999999999</c:v>
                </c:pt>
                <c:pt idx="498">
                  <c:v>-0.70878099999999999</c:v>
                </c:pt>
                <c:pt idx="499">
                  <c:v>-0.70949499999999999</c:v>
                </c:pt>
                <c:pt idx="500">
                  <c:v>-0.71394100000000005</c:v>
                </c:pt>
                <c:pt idx="501">
                  <c:v>-0.71106499999999995</c:v>
                </c:pt>
                <c:pt idx="502">
                  <c:v>-0.710704</c:v>
                </c:pt>
                <c:pt idx="503">
                  <c:v>-0.71807200000000004</c:v>
                </c:pt>
                <c:pt idx="504">
                  <c:v>-0.72203700000000004</c:v>
                </c:pt>
                <c:pt idx="505">
                  <c:v>-0.72059200000000001</c:v>
                </c:pt>
                <c:pt idx="506">
                  <c:v>-0.71407399999999999</c:v>
                </c:pt>
                <c:pt idx="507">
                  <c:v>-0.71089800000000003</c:v>
                </c:pt>
                <c:pt idx="508">
                  <c:v>-0.70714399999999999</c:v>
                </c:pt>
                <c:pt idx="509">
                  <c:v>-0.70788600000000002</c:v>
                </c:pt>
                <c:pt idx="510">
                  <c:v>-0.71132600000000001</c:v>
                </c:pt>
                <c:pt idx="511">
                  <c:v>-0.71393200000000001</c:v>
                </c:pt>
                <c:pt idx="512">
                  <c:v>-0.71454899999999999</c:v>
                </c:pt>
                <c:pt idx="513">
                  <c:v>-0.714638</c:v>
                </c:pt>
                <c:pt idx="514">
                  <c:v>-0.71901099999999996</c:v>
                </c:pt>
                <c:pt idx="515">
                  <c:v>-0.71702100000000002</c:v>
                </c:pt>
                <c:pt idx="516">
                  <c:v>-0.71477299999999999</c:v>
                </c:pt>
                <c:pt idx="517">
                  <c:v>-0.71558900000000003</c:v>
                </c:pt>
                <c:pt idx="518">
                  <c:v>-0.71405300000000005</c:v>
                </c:pt>
                <c:pt idx="519">
                  <c:v>-0.71588200000000002</c:v>
                </c:pt>
                <c:pt idx="520">
                  <c:v>-0.72101199999999999</c:v>
                </c:pt>
                <c:pt idx="521">
                  <c:v>-0.72218899999999997</c:v>
                </c:pt>
                <c:pt idx="522">
                  <c:v>-0.71633899999999995</c:v>
                </c:pt>
                <c:pt idx="523">
                  <c:v>-0.71285100000000001</c:v>
                </c:pt>
                <c:pt idx="524">
                  <c:v>-0.713642</c:v>
                </c:pt>
                <c:pt idx="525">
                  <c:v>-0.72153100000000003</c:v>
                </c:pt>
                <c:pt idx="526">
                  <c:v>-0.71974899999999997</c:v>
                </c:pt>
                <c:pt idx="527">
                  <c:v>-0.71554200000000001</c:v>
                </c:pt>
                <c:pt idx="528">
                  <c:v>-0.715086</c:v>
                </c:pt>
                <c:pt idx="529">
                  <c:v>-0.71767899999999996</c:v>
                </c:pt>
                <c:pt idx="530">
                  <c:v>-0.71617600000000003</c:v>
                </c:pt>
                <c:pt idx="531">
                  <c:v>-0.71296499999999996</c:v>
                </c:pt>
                <c:pt idx="532">
                  <c:v>-0.71611800000000003</c:v>
                </c:pt>
                <c:pt idx="533">
                  <c:v>-0.72127200000000002</c:v>
                </c:pt>
                <c:pt idx="534">
                  <c:v>-0.71374499999999996</c:v>
                </c:pt>
                <c:pt idx="535">
                  <c:v>-0.71467800000000004</c:v>
                </c:pt>
                <c:pt idx="536">
                  <c:v>-0.71231500000000003</c:v>
                </c:pt>
                <c:pt idx="537">
                  <c:v>-0.71344300000000005</c:v>
                </c:pt>
                <c:pt idx="538">
                  <c:v>-0.71703700000000004</c:v>
                </c:pt>
                <c:pt idx="539">
                  <c:v>-0.711642</c:v>
                </c:pt>
                <c:pt idx="540">
                  <c:v>-0.70774099999999995</c:v>
                </c:pt>
                <c:pt idx="541">
                  <c:v>-0.706376</c:v>
                </c:pt>
                <c:pt idx="542">
                  <c:v>-0.71720200000000001</c:v>
                </c:pt>
                <c:pt idx="543">
                  <c:v>-0.72497100000000003</c:v>
                </c:pt>
                <c:pt idx="544">
                  <c:v>-0.71522699999999995</c:v>
                </c:pt>
                <c:pt idx="545">
                  <c:v>-0.70992699999999997</c:v>
                </c:pt>
                <c:pt idx="546">
                  <c:v>-0.71601199999999998</c:v>
                </c:pt>
                <c:pt idx="547">
                  <c:v>-0.72075999999999996</c:v>
                </c:pt>
                <c:pt idx="548">
                  <c:v>-0.71710300000000005</c:v>
                </c:pt>
                <c:pt idx="549">
                  <c:v>-0.71501099999999995</c:v>
                </c:pt>
                <c:pt idx="550">
                  <c:v>-0.70745800000000003</c:v>
                </c:pt>
                <c:pt idx="551">
                  <c:v>-0.71021699999999999</c:v>
                </c:pt>
                <c:pt idx="552">
                  <c:v>-0.70993399999999995</c:v>
                </c:pt>
                <c:pt idx="553">
                  <c:v>-0.70962700000000001</c:v>
                </c:pt>
                <c:pt idx="554">
                  <c:v>-0.70617700000000005</c:v>
                </c:pt>
                <c:pt idx="555">
                  <c:v>-0.70781300000000003</c:v>
                </c:pt>
                <c:pt idx="556">
                  <c:v>-0.71243800000000002</c:v>
                </c:pt>
                <c:pt idx="557">
                  <c:v>-0.72126400000000002</c:v>
                </c:pt>
                <c:pt idx="558">
                  <c:v>-0.72062700000000002</c:v>
                </c:pt>
                <c:pt idx="559">
                  <c:v>-0.71409599999999995</c:v>
                </c:pt>
                <c:pt idx="560">
                  <c:v>-0.71094000000000002</c:v>
                </c:pt>
                <c:pt idx="561">
                  <c:v>-0.71176300000000003</c:v>
                </c:pt>
                <c:pt idx="562">
                  <c:v>-0.710476</c:v>
                </c:pt>
                <c:pt idx="563">
                  <c:v>-0.71561300000000005</c:v>
                </c:pt>
                <c:pt idx="564">
                  <c:v>-0.71770400000000001</c:v>
                </c:pt>
                <c:pt idx="565">
                  <c:v>-0.71650700000000001</c:v>
                </c:pt>
                <c:pt idx="566">
                  <c:v>-0.71303899999999998</c:v>
                </c:pt>
                <c:pt idx="567">
                  <c:v>-0.71261200000000002</c:v>
                </c:pt>
                <c:pt idx="568">
                  <c:v>-0.71547799999999995</c:v>
                </c:pt>
                <c:pt idx="569">
                  <c:v>-0.71999000000000002</c:v>
                </c:pt>
                <c:pt idx="570">
                  <c:v>-0.71965299999999999</c:v>
                </c:pt>
                <c:pt idx="571">
                  <c:v>-0.71592299999999998</c:v>
                </c:pt>
                <c:pt idx="572">
                  <c:v>-0.71148</c:v>
                </c:pt>
                <c:pt idx="573">
                  <c:v>-0.71204400000000001</c:v>
                </c:pt>
                <c:pt idx="574">
                  <c:v>-0.71253299999999997</c:v>
                </c:pt>
                <c:pt idx="575">
                  <c:v>-0.71335400000000004</c:v>
                </c:pt>
                <c:pt idx="576">
                  <c:v>-0.713503</c:v>
                </c:pt>
                <c:pt idx="577">
                  <c:v>-0.71852700000000003</c:v>
                </c:pt>
                <c:pt idx="578">
                  <c:v>-0.70689199999999996</c:v>
                </c:pt>
                <c:pt idx="579">
                  <c:v>-0.70817600000000003</c:v>
                </c:pt>
                <c:pt idx="580">
                  <c:v>-0.71388700000000005</c:v>
                </c:pt>
                <c:pt idx="581">
                  <c:v>-0.72025499999999998</c:v>
                </c:pt>
                <c:pt idx="582">
                  <c:v>-0.72219599999999995</c:v>
                </c:pt>
                <c:pt idx="583">
                  <c:v>-0.71527200000000002</c:v>
                </c:pt>
                <c:pt idx="584">
                  <c:v>-0.71428599999999998</c:v>
                </c:pt>
                <c:pt idx="585">
                  <c:v>-0.71879800000000005</c:v>
                </c:pt>
                <c:pt idx="586">
                  <c:v>-0.71487000000000001</c:v>
                </c:pt>
                <c:pt idx="587">
                  <c:v>-0.70875500000000002</c:v>
                </c:pt>
                <c:pt idx="588">
                  <c:v>-0.70589400000000002</c:v>
                </c:pt>
                <c:pt idx="589">
                  <c:v>-0.714175</c:v>
                </c:pt>
                <c:pt idx="590">
                  <c:v>-0.71605300000000005</c:v>
                </c:pt>
                <c:pt idx="591">
                  <c:v>-0.710372</c:v>
                </c:pt>
                <c:pt idx="592">
                  <c:v>-0.70946399999999998</c:v>
                </c:pt>
                <c:pt idx="593">
                  <c:v>-0.71088099999999999</c:v>
                </c:pt>
                <c:pt idx="594">
                  <c:v>-0.70592200000000005</c:v>
                </c:pt>
                <c:pt idx="595">
                  <c:v>-0.70358600000000004</c:v>
                </c:pt>
                <c:pt idx="596">
                  <c:v>-0.70844499999999999</c:v>
                </c:pt>
                <c:pt idx="597">
                  <c:v>-0.71451399999999998</c:v>
                </c:pt>
                <c:pt idx="598">
                  <c:v>-0.72105300000000006</c:v>
                </c:pt>
                <c:pt idx="599">
                  <c:v>-0.718028</c:v>
                </c:pt>
                <c:pt idx="600">
                  <c:v>-0.70813099999999995</c:v>
                </c:pt>
                <c:pt idx="601">
                  <c:v>-0.71301700000000001</c:v>
                </c:pt>
                <c:pt idx="602">
                  <c:v>-0.71973500000000001</c:v>
                </c:pt>
                <c:pt idx="603">
                  <c:v>-0.72733599999999998</c:v>
                </c:pt>
                <c:pt idx="604">
                  <c:v>-0.72353000000000001</c:v>
                </c:pt>
                <c:pt idx="605">
                  <c:v>-0.72154300000000005</c:v>
                </c:pt>
                <c:pt idx="606">
                  <c:v>-0.71567400000000003</c:v>
                </c:pt>
                <c:pt idx="607">
                  <c:v>-0.72458599999999995</c:v>
                </c:pt>
                <c:pt idx="608">
                  <c:v>-0.72307699999999997</c:v>
                </c:pt>
                <c:pt idx="609">
                  <c:v>-0.72064300000000003</c:v>
                </c:pt>
                <c:pt idx="610">
                  <c:v>-0.72101000000000004</c:v>
                </c:pt>
                <c:pt idx="611">
                  <c:v>-0.72133000000000003</c:v>
                </c:pt>
                <c:pt idx="612">
                  <c:v>-0.71868799999999999</c:v>
                </c:pt>
                <c:pt idx="613">
                  <c:v>-0.71740899999999996</c:v>
                </c:pt>
                <c:pt idx="614">
                  <c:v>-0.71964799999999995</c:v>
                </c:pt>
                <c:pt idx="615">
                  <c:v>-0.720113</c:v>
                </c:pt>
                <c:pt idx="616">
                  <c:v>-0.71847499999999997</c:v>
                </c:pt>
                <c:pt idx="617">
                  <c:v>-0.72144600000000003</c:v>
                </c:pt>
                <c:pt idx="618">
                  <c:v>-0.71474700000000002</c:v>
                </c:pt>
                <c:pt idx="619">
                  <c:v>-0.71483799999999997</c:v>
                </c:pt>
                <c:pt idx="620">
                  <c:v>-0.70782599999999996</c:v>
                </c:pt>
                <c:pt idx="621">
                  <c:v>-0.71172100000000005</c:v>
                </c:pt>
                <c:pt idx="622">
                  <c:v>-0.705901</c:v>
                </c:pt>
                <c:pt idx="623">
                  <c:v>-0.71628199999999997</c:v>
                </c:pt>
                <c:pt idx="624">
                  <c:v>-0.72111899999999995</c:v>
                </c:pt>
                <c:pt idx="625">
                  <c:v>-0.72838400000000003</c:v>
                </c:pt>
                <c:pt idx="626">
                  <c:v>-0.72486200000000001</c:v>
                </c:pt>
                <c:pt idx="627">
                  <c:v>-0.72223499999999996</c:v>
                </c:pt>
                <c:pt idx="628">
                  <c:v>-0.71836100000000003</c:v>
                </c:pt>
                <c:pt idx="629">
                  <c:v>-0.72171799999999997</c:v>
                </c:pt>
                <c:pt idx="630">
                  <c:v>-0.72401599999999999</c:v>
                </c:pt>
                <c:pt idx="631">
                  <c:v>-0.716526</c:v>
                </c:pt>
                <c:pt idx="632">
                  <c:v>-0.71781300000000003</c:v>
                </c:pt>
                <c:pt idx="633">
                  <c:v>-0.71583799999999997</c:v>
                </c:pt>
                <c:pt idx="634">
                  <c:v>-0.71159499999999998</c:v>
                </c:pt>
                <c:pt idx="635">
                  <c:v>-0.71218800000000004</c:v>
                </c:pt>
                <c:pt idx="636">
                  <c:v>-0.72743999999999998</c:v>
                </c:pt>
                <c:pt idx="637">
                  <c:v>-0.77143899999999999</c:v>
                </c:pt>
                <c:pt idx="638">
                  <c:v>-0.68735000000000002</c:v>
                </c:pt>
                <c:pt idx="639">
                  <c:v>4.3725899999999998E-2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606272"/>
        <c:axId val="93608192"/>
      </c:scatterChart>
      <c:valAx>
        <c:axId val="936062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1400" i="1"/>
                  <a:t>x</a:t>
                </a:r>
                <a:r>
                  <a:rPr lang="en-US" sz="1400" i="0"/>
                  <a:t>-uncal</a:t>
                </a:r>
                <a:r>
                  <a:rPr lang="en-US" sz="1400"/>
                  <a:t> (um)</a:t>
                </a:r>
              </a:p>
            </c:rich>
          </c:tx>
          <c:layout>
            <c:manualLayout>
              <c:xMode val="edge"/>
              <c:yMode val="edge"/>
              <c:x val="0.4224733158355205"/>
              <c:y val="0.90773954625534825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93608192"/>
        <c:crosses val="autoZero"/>
        <c:crossBetween val="midCat"/>
      </c:valAx>
      <c:valAx>
        <c:axId val="9360819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400" i="1"/>
                  <a:t>z</a:t>
                </a:r>
                <a:r>
                  <a:rPr lang="en-US" sz="1400"/>
                  <a:t>-uncal (um)</a:t>
                </a:r>
              </a:p>
            </c:rich>
          </c:tx>
          <c:layout>
            <c:manualLayout>
              <c:xMode val="edge"/>
              <c:yMode val="edge"/>
              <c:x val="5.5555555555555558E-3"/>
              <c:y val="0.36566785316219036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9360627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628650</xdr:colOff>
      <xdr:row>48</xdr:row>
      <xdr:rowOff>57150</xdr:rowOff>
    </xdr:from>
    <xdr:to>
      <xdr:col>12</xdr:col>
      <xdr:colOff>323850</xdr:colOff>
      <xdr:row>62</xdr:row>
      <xdr:rowOff>133350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200025</xdr:colOff>
      <xdr:row>18</xdr:row>
      <xdr:rowOff>180975</xdr:rowOff>
    </xdr:from>
    <xdr:to>
      <xdr:col>23</xdr:col>
      <xdr:colOff>504825</xdr:colOff>
      <xdr:row>33</xdr:row>
      <xdr:rowOff>104775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43"/>
  <sheetViews>
    <sheetView tabSelected="1" topLeftCell="C1" workbookViewId="0">
      <selection activeCell="G1" sqref="G1"/>
    </sheetView>
  </sheetViews>
  <sheetFormatPr defaultRowHeight="15" x14ac:dyDescent="0.25"/>
  <cols>
    <col min="5" max="5" width="9.85546875" customWidth="1"/>
    <col min="18" max="18" width="9.7109375" style="1" bestFit="1" customWidth="1"/>
  </cols>
  <sheetData>
    <row r="1" spans="1:18" x14ac:dyDescent="0.25">
      <c r="A1" s="8" t="s">
        <v>19</v>
      </c>
      <c r="B1" s="8" t="s">
        <v>19</v>
      </c>
      <c r="C1" s="8" t="s">
        <v>18</v>
      </c>
      <c r="D1" s="8" t="s">
        <v>18</v>
      </c>
      <c r="E1" s="14" t="s">
        <v>23</v>
      </c>
      <c r="F1" s="15" t="s">
        <v>24</v>
      </c>
      <c r="G1" s="1"/>
      <c r="H1" s="1"/>
      <c r="I1" s="18" t="s">
        <v>4</v>
      </c>
      <c r="J1" s="19">
        <v>1.12208</v>
      </c>
      <c r="K1" s="11" t="s">
        <v>5</v>
      </c>
      <c r="L1" s="34">
        <v>365.01799999999997</v>
      </c>
      <c r="M1">
        <f>PRODUCT(L1,E$2)</f>
        <v>368.21701775199995</v>
      </c>
      <c r="N1" s="3">
        <f>(M1-$F$3)*COS($F$4)+$F$3</f>
        <v>368.21701775199995</v>
      </c>
      <c r="R1" s="42">
        <v>41029</v>
      </c>
    </row>
    <row r="2" spans="1:18" x14ac:dyDescent="0.25">
      <c r="C2" t="s">
        <v>0</v>
      </c>
      <c r="D2" t="s">
        <v>0</v>
      </c>
      <c r="E2" s="28">
        <v>1.008764</v>
      </c>
      <c r="F2" s="16">
        <v>0.99726000000000004</v>
      </c>
      <c r="G2" s="24" t="s">
        <v>73</v>
      </c>
      <c r="H2" s="25"/>
      <c r="I2" s="20" t="s">
        <v>6</v>
      </c>
      <c r="J2" s="21">
        <v>0.77115</v>
      </c>
      <c r="K2" s="35" t="s">
        <v>7</v>
      </c>
      <c r="L2" s="12">
        <v>569.11400000000003</v>
      </c>
      <c r="M2">
        <f>PRODUCT(L2,E$2)</f>
        <v>574.10171509600002</v>
      </c>
      <c r="N2" s="3">
        <f>(M2-$F$3)*COS($F$4)+$F$3</f>
        <v>574.10171509600002</v>
      </c>
    </row>
    <row r="3" spans="1:18" ht="15.75" thickBot="1" x14ac:dyDescent="0.3">
      <c r="A3" t="s">
        <v>1</v>
      </c>
      <c r="B3" t="s">
        <v>3</v>
      </c>
      <c r="C3" t="s">
        <v>2</v>
      </c>
      <c r="D3" t="s">
        <v>2</v>
      </c>
      <c r="E3" s="28" t="s">
        <v>25</v>
      </c>
      <c r="F3" s="16">
        <v>322.69</v>
      </c>
      <c r="G3" s="25" t="s">
        <v>32</v>
      </c>
      <c r="H3" s="25"/>
      <c r="I3" s="20"/>
      <c r="J3" s="21"/>
      <c r="K3" s="36" t="s">
        <v>8</v>
      </c>
      <c r="L3" s="13">
        <v>-0.21923000000000001</v>
      </c>
      <c r="M3">
        <f>PRODUCT(L3,$F$2)</f>
        <v>-0.2186293098</v>
      </c>
      <c r="N3">
        <f>PRODUCT($L$3,$F$2)</f>
        <v>-0.2186293098</v>
      </c>
    </row>
    <row r="4" spans="1:18" ht="15.75" thickBot="1" x14ac:dyDescent="0.3">
      <c r="A4">
        <v>0</v>
      </c>
      <c r="B4">
        <f>A4*1000</f>
        <v>0</v>
      </c>
      <c r="C4">
        <v>-0.63461100000000004</v>
      </c>
      <c r="D4" s="10" t="s">
        <v>27</v>
      </c>
      <c r="E4" s="29" t="s">
        <v>26</v>
      </c>
      <c r="F4" s="17">
        <v>0</v>
      </c>
      <c r="G4" s="25" t="s">
        <v>36</v>
      </c>
      <c r="H4" s="25"/>
      <c r="I4" s="20" t="s">
        <v>9</v>
      </c>
      <c r="J4" s="21">
        <v>1.4719</v>
      </c>
      <c r="K4" s="39" t="s">
        <v>10</v>
      </c>
      <c r="L4" s="40">
        <f>L2</f>
        <v>569.11400000000003</v>
      </c>
      <c r="M4">
        <f>PRODUCT(L4,E$2)</f>
        <v>574.10171509600002</v>
      </c>
      <c r="N4" s="3">
        <f>(M4-$F$3)*COS($F$4)+$F$3</f>
        <v>574.10171509600002</v>
      </c>
    </row>
    <row r="5" spans="1:18" ht="15.75" thickBot="1" x14ac:dyDescent="0.3">
      <c r="A5">
        <v>1.9624600000000001E-3</v>
      </c>
      <c r="B5">
        <f t="shared" ref="B5:B68" si="0">A5*1000</f>
        <v>1.9624600000000001</v>
      </c>
      <c r="C5">
        <v>-0.63256699999999999</v>
      </c>
      <c r="D5" s="9">
        <f>MIN(D259:D361)</f>
        <v>-0.21923400000000001</v>
      </c>
      <c r="E5" s="27" t="s">
        <v>42</v>
      </c>
      <c r="G5" s="25" t="s">
        <v>33</v>
      </c>
      <c r="H5" s="25"/>
      <c r="I5" s="20" t="s">
        <v>11</v>
      </c>
      <c r="J5" s="21">
        <v>5.1434800000000003</v>
      </c>
      <c r="K5" s="37" t="s">
        <v>12</v>
      </c>
      <c r="L5" s="38">
        <v>771.24800000000005</v>
      </c>
      <c r="M5">
        <f>PRODUCT(L5,E$2)</f>
        <v>778.00721747200009</v>
      </c>
      <c r="N5" s="3">
        <f>(M5-$F$3)*COS($F$4)+$F$3</f>
        <v>778.00721747200009</v>
      </c>
    </row>
    <row r="6" spans="1:18" ht="15.75" thickBot="1" x14ac:dyDescent="0.3">
      <c r="A6">
        <v>3.9249300000000001E-3</v>
      </c>
      <c r="B6">
        <f t="shared" si="0"/>
        <v>3.9249300000000003</v>
      </c>
      <c r="C6">
        <v>-0.63511399999999996</v>
      </c>
      <c r="E6" s="26" t="s">
        <v>28</v>
      </c>
      <c r="F6" s="26"/>
      <c r="G6" s="25" t="s">
        <v>34</v>
      </c>
      <c r="H6" s="25"/>
      <c r="I6" s="22" t="s">
        <v>13</v>
      </c>
      <c r="J6" s="23">
        <v>1</v>
      </c>
      <c r="K6" s="39" t="s">
        <v>14</v>
      </c>
      <c r="L6" s="40">
        <f>L3</f>
        <v>-0.21923000000000001</v>
      </c>
      <c r="M6">
        <f>PRODUCT(L6,$F$2)</f>
        <v>-0.2186293098</v>
      </c>
      <c r="N6">
        <f>PRODUCT($L$3,$F$2)</f>
        <v>-0.2186293098</v>
      </c>
    </row>
    <row r="7" spans="1:18" x14ac:dyDescent="0.25">
      <c r="A7">
        <v>5.8873900000000002E-3</v>
      </c>
      <c r="B7">
        <f t="shared" si="0"/>
        <v>5.8873899999999999</v>
      </c>
      <c r="C7">
        <v>-0.63565199999999999</v>
      </c>
      <c r="E7" s="26" t="s">
        <v>29</v>
      </c>
      <c r="F7" s="26"/>
      <c r="G7" s="25" t="s">
        <v>35</v>
      </c>
      <c r="H7" s="25"/>
      <c r="I7" s="30" t="s">
        <v>72</v>
      </c>
      <c r="K7" s="33" t="s">
        <v>37</v>
      </c>
      <c r="N7" s="43" t="s">
        <v>20</v>
      </c>
    </row>
    <row r="8" spans="1:18" x14ac:dyDescent="0.25">
      <c r="A8">
        <v>7.8498500000000002E-3</v>
      </c>
      <c r="B8">
        <f t="shared" si="0"/>
        <v>7.84985</v>
      </c>
      <c r="C8">
        <v>-0.63857699999999995</v>
      </c>
      <c r="E8" s="26" t="s">
        <v>30</v>
      </c>
      <c r="F8" s="26"/>
      <c r="I8" s="31" t="s">
        <v>32</v>
      </c>
      <c r="J8" s="5"/>
      <c r="K8" s="32" t="s">
        <v>32</v>
      </c>
      <c r="L8" s="2"/>
    </row>
    <row r="9" spans="1:18" x14ac:dyDescent="0.25">
      <c r="A9">
        <v>9.8123199999999994E-3</v>
      </c>
      <c r="B9">
        <f t="shared" si="0"/>
        <v>9.8123199999999997</v>
      </c>
      <c r="C9">
        <v>-0.64115999999999995</v>
      </c>
      <c r="E9" s="26" t="s">
        <v>31</v>
      </c>
      <c r="F9" s="26"/>
      <c r="I9" s="31" t="s">
        <v>38</v>
      </c>
      <c r="J9" s="5"/>
      <c r="K9" s="32" t="s">
        <v>40</v>
      </c>
      <c r="L9" s="2"/>
    </row>
    <row r="10" spans="1:18" x14ac:dyDescent="0.25">
      <c r="A10">
        <v>1.17748E-2</v>
      </c>
      <c r="B10">
        <f t="shared" si="0"/>
        <v>11.774800000000001</v>
      </c>
      <c r="C10">
        <v>-0.64408699999999997</v>
      </c>
      <c r="D10">
        <v>-0.64408699999999997</v>
      </c>
      <c r="E10" s="8" t="s">
        <v>20</v>
      </c>
      <c r="F10" s="8" t="s">
        <v>71</v>
      </c>
      <c r="G10" s="8" t="s">
        <v>21</v>
      </c>
      <c r="H10" s="8" t="s">
        <v>22</v>
      </c>
      <c r="I10" s="31" t="s">
        <v>39</v>
      </c>
      <c r="J10" s="5"/>
      <c r="K10" s="32" t="s">
        <v>41</v>
      </c>
      <c r="L10" s="2"/>
      <c r="M10" s="2"/>
    </row>
    <row r="11" spans="1:18" x14ac:dyDescent="0.25">
      <c r="A11">
        <v>1.37372E-2</v>
      </c>
      <c r="B11">
        <f t="shared" si="0"/>
        <v>13.7372</v>
      </c>
      <c r="C11">
        <v>-0.64591100000000001</v>
      </c>
      <c r="D11">
        <v>-0.64591100000000001</v>
      </c>
    </row>
    <row r="12" spans="1:18" x14ac:dyDescent="0.25">
      <c r="A12">
        <v>1.56997E-2</v>
      </c>
      <c r="B12">
        <f t="shared" si="0"/>
        <v>15.6997</v>
      </c>
      <c r="C12">
        <v>-0.64482499999999998</v>
      </c>
      <c r="D12">
        <v>-0.64482499999999998</v>
      </c>
    </row>
    <row r="13" spans="1:18" x14ac:dyDescent="0.25">
      <c r="A13">
        <v>1.7662199999999999E-2</v>
      </c>
      <c r="B13">
        <f t="shared" si="0"/>
        <v>17.662199999999999</v>
      </c>
      <c r="C13">
        <v>-0.64046000000000003</v>
      </c>
      <c r="D13">
        <v>-0.64046000000000003</v>
      </c>
      <c r="F13" s="41" t="s">
        <v>46</v>
      </c>
    </row>
    <row r="14" spans="1:18" x14ac:dyDescent="0.25">
      <c r="A14">
        <v>1.9624599999999999E-2</v>
      </c>
      <c r="B14">
        <f t="shared" si="0"/>
        <v>19.624599999999997</v>
      </c>
      <c r="C14">
        <v>-0.63131999999999999</v>
      </c>
      <c r="D14">
        <v>-0.63131999999999999</v>
      </c>
    </row>
    <row r="15" spans="1:18" x14ac:dyDescent="0.25">
      <c r="A15">
        <v>2.1587100000000001E-2</v>
      </c>
      <c r="B15">
        <f t="shared" si="0"/>
        <v>21.587100000000003</v>
      </c>
      <c r="C15">
        <v>-0.63305599999999995</v>
      </c>
      <c r="D15">
        <v>-0.63305599999999995</v>
      </c>
      <c r="E15" s="7" t="s">
        <v>47</v>
      </c>
      <c r="F15" s="7"/>
    </row>
    <row r="16" spans="1:18" x14ac:dyDescent="0.25">
      <c r="A16">
        <v>2.35496E-2</v>
      </c>
      <c r="B16">
        <f t="shared" si="0"/>
        <v>23.549600000000002</v>
      </c>
      <c r="C16">
        <v>-0.63208200000000003</v>
      </c>
      <c r="D16">
        <v>-0.63208200000000003</v>
      </c>
      <c r="E16">
        <v>1</v>
      </c>
      <c r="F16" t="s">
        <v>48</v>
      </c>
    </row>
    <row r="17" spans="1:7" x14ac:dyDescent="0.25">
      <c r="A17">
        <v>2.5512E-2</v>
      </c>
      <c r="B17">
        <f t="shared" si="0"/>
        <v>25.512</v>
      </c>
      <c r="C17">
        <v>-0.63668199999999997</v>
      </c>
      <c r="D17">
        <v>-0.63668199999999997</v>
      </c>
      <c r="E17">
        <v>2</v>
      </c>
      <c r="F17" t="s">
        <v>54</v>
      </c>
    </row>
    <row r="18" spans="1:7" x14ac:dyDescent="0.25">
      <c r="A18">
        <v>2.7474499999999999E-2</v>
      </c>
      <c r="B18">
        <f t="shared" si="0"/>
        <v>27.474499999999999</v>
      </c>
      <c r="C18">
        <v>-0.63415999999999995</v>
      </c>
      <c r="D18">
        <v>-0.63415999999999995</v>
      </c>
      <c r="E18">
        <v>3</v>
      </c>
      <c r="F18" t="s">
        <v>53</v>
      </c>
    </row>
    <row r="19" spans="1:7" x14ac:dyDescent="0.25">
      <c r="A19">
        <v>2.9437000000000001E-2</v>
      </c>
      <c r="B19">
        <f t="shared" si="0"/>
        <v>29.437000000000001</v>
      </c>
      <c r="C19">
        <v>-0.63177300000000003</v>
      </c>
      <c r="D19">
        <v>-0.63177300000000003</v>
      </c>
      <c r="E19">
        <v>4</v>
      </c>
      <c r="F19" t="s">
        <v>49</v>
      </c>
    </row>
    <row r="20" spans="1:7" x14ac:dyDescent="0.25">
      <c r="A20">
        <v>3.1399400000000001E-2</v>
      </c>
      <c r="B20">
        <f t="shared" si="0"/>
        <v>31.3994</v>
      </c>
      <c r="C20">
        <v>-0.63434699999999999</v>
      </c>
      <c r="D20">
        <v>-0.63434699999999999</v>
      </c>
      <c r="G20" t="s">
        <v>55</v>
      </c>
    </row>
    <row r="21" spans="1:7" x14ac:dyDescent="0.25">
      <c r="A21">
        <v>3.33619E-2</v>
      </c>
      <c r="B21">
        <f t="shared" si="0"/>
        <v>33.361899999999999</v>
      </c>
      <c r="C21">
        <v>-0.63475899999999996</v>
      </c>
      <c r="D21">
        <v>-0.63475899999999996</v>
      </c>
      <c r="E21">
        <v>5</v>
      </c>
      <c r="F21" t="s">
        <v>52</v>
      </c>
    </row>
    <row r="22" spans="1:7" x14ac:dyDescent="0.25">
      <c r="A22">
        <v>3.5324300000000003E-2</v>
      </c>
      <c r="B22">
        <f t="shared" si="0"/>
        <v>35.324300000000001</v>
      </c>
      <c r="C22">
        <v>-0.63617599999999996</v>
      </c>
      <c r="D22">
        <v>-0.63617599999999996</v>
      </c>
      <c r="G22" t="s">
        <v>70</v>
      </c>
    </row>
    <row r="23" spans="1:7" x14ac:dyDescent="0.25">
      <c r="A23">
        <v>3.7286800000000002E-2</v>
      </c>
      <c r="B23">
        <f t="shared" si="0"/>
        <v>37.286799999999999</v>
      </c>
      <c r="C23">
        <v>-0.63723099999999999</v>
      </c>
      <c r="D23">
        <v>-0.63723099999999999</v>
      </c>
      <c r="G23" t="s">
        <v>56</v>
      </c>
    </row>
    <row r="24" spans="1:7" x14ac:dyDescent="0.25">
      <c r="A24">
        <v>3.9249300000000001E-2</v>
      </c>
      <c r="B24">
        <f t="shared" si="0"/>
        <v>39.249299999999998</v>
      </c>
      <c r="C24">
        <v>-0.64121799999999995</v>
      </c>
      <c r="D24">
        <v>-0.64121799999999995</v>
      </c>
      <c r="E24">
        <v>6</v>
      </c>
      <c r="F24" t="s">
        <v>43</v>
      </c>
    </row>
    <row r="25" spans="1:7" x14ac:dyDescent="0.25">
      <c r="A25">
        <v>4.1211699999999997E-2</v>
      </c>
      <c r="B25">
        <f t="shared" si="0"/>
        <v>41.2117</v>
      </c>
      <c r="C25">
        <v>-0.64749500000000004</v>
      </c>
      <c r="D25">
        <v>-0.64749500000000004</v>
      </c>
      <c r="E25">
        <v>7</v>
      </c>
      <c r="F25" t="s">
        <v>50</v>
      </c>
    </row>
    <row r="26" spans="1:7" x14ac:dyDescent="0.25">
      <c r="A26">
        <v>4.3174200000000003E-2</v>
      </c>
      <c r="B26">
        <f t="shared" si="0"/>
        <v>43.174200000000006</v>
      </c>
      <c r="C26">
        <v>-0.65322800000000003</v>
      </c>
      <c r="D26">
        <v>-0.65322800000000003</v>
      </c>
      <c r="G26" t="s">
        <v>15</v>
      </c>
    </row>
    <row r="27" spans="1:7" x14ac:dyDescent="0.25">
      <c r="A27">
        <v>4.5136700000000002E-2</v>
      </c>
      <c r="B27">
        <f t="shared" si="0"/>
        <v>45.136700000000005</v>
      </c>
      <c r="C27">
        <v>-0.650142</v>
      </c>
      <c r="D27">
        <v>-0.650142</v>
      </c>
      <c r="E27">
        <v>8</v>
      </c>
      <c r="F27" t="s">
        <v>51</v>
      </c>
    </row>
    <row r="28" spans="1:7" x14ac:dyDescent="0.25">
      <c r="A28">
        <v>4.7099099999999998E-2</v>
      </c>
      <c r="B28">
        <f t="shared" si="0"/>
        <v>47.0991</v>
      </c>
      <c r="C28">
        <v>-0.648262</v>
      </c>
      <c r="D28">
        <v>-0.648262</v>
      </c>
      <c r="E28">
        <v>9</v>
      </c>
      <c r="F28" t="s">
        <v>57</v>
      </c>
    </row>
    <row r="29" spans="1:7" x14ac:dyDescent="0.25">
      <c r="A29">
        <v>4.9061599999999997E-2</v>
      </c>
      <c r="B29">
        <f t="shared" si="0"/>
        <v>49.061599999999999</v>
      </c>
      <c r="C29">
        <v>-0.64361400000000002</v>
      </c>
      <c r="D29">
        <v>-0.64361400000000002</v>
      </c>
      <c r="E29">
        <v>10</v>
      </c>
      <c r="F29" t="s">
        <v>66</v>
      </c>
    </row>
    <row r="30" spans="1:7" x14ac:dyDescent="0.25">
      <c r="A30">
        <v>5.1024E-2</v>
      </c>
      <c r="B30">
        <f t="shared" si="0"/>
        <v>51.024000000000001</v>
      </c>
      <c r="C30">
        <v>-0.64380999999999999</v>
      </c>
      <c r="D30">
        <v>-0.64380999999999999</v>
      </c>
      <c r="G30" t="s">
        <v>65</v>
      </c>
    </row>
    <row r="31" spans="1:7" x14ac:dyDescent="0.25">
      <c r="A31">
        <v>5.2986499999999999E-2</v>
      </c>
      <c r="B31">
        <f t="shared" si="0"/>
        <v>52.986499999999999</v>
      </c>
      <c r="C31">
        <v>-0.64293599999999995</v>
      </c>
      <c r="D31">
        <v>-0.64293599999999995</v>
      </c>
      <c r="G31" t="s">
        <v>69</v>
      </c>
    </row>
    <row r="32" spans="1:7" x14ac:dyDescent="0.25">
      <c r="A32">
        <v>5.4948999999999998E-2</v>
      </c>
      <c r="B32">
        <f t="shared" si="0"/>
        <v>54.948999999999998</v>
      </c>
      <c r="C32">
        <v>-0.64622500000000005</v>
      </c>
      <c r="D32">
        <v>-0.64622500000000005</v>
      </c>
      <c r="G32" t="s">
        <v>68</v>
      </c>
    </row>
    <row r="33" spans="1:7" x14ac:dyDescent="0.25">
      <c r="A33">
        <v>5.6911400000000001E-2</v>
      </c>
      <c r="B33">
        <f t="shared" si="0"/>
        <v>56.9114</v>
      </c>
      <c r="C33">
        <v>-0.64517500000000005</v>
      </c>
      <c r="D33">
        <v>-0.64517500000000005</v>
      </c>
      <c r="E33">
        <v>11</v>
      </c>
      <c r="F33" t="s">
        <v>58</v>
      </c>
    </row>
    <row r="34" spans="1:7" x14ac:dyDescent="0.25">
      <c r="A34">
        <v>5.88739E-2</v>
      </c>
      <c r="B34">
        <f t="shared" si="0"/>
        <v>58.873899999999999</v>
      </c>
      <c r="C34">
        <v>-0.64198999999999995</v>
      </c>
      <c r="D34">
        <v>-0.64198999999999995</v>
      </c>
      <c r="G34" t="s">
        <v>59</v>
      </c>
    </row>
    <row r="35" spans="1:7" x14ac:dyDescent="0.25">
      <c r="A35">
        <v>6.0836399999999999E-2</v>
      </c>
      <c r="B35">
        <f t="shared" si="0"/>
        <v>60.836399999999998</v>
      </c>
      <c r="C35">
        <v>-0.64506399999999997</v>
      </c>
      <c r="D35">
        <v>-0.64506399999999997</v>
      </c>
      <c r="G35" t="s">
        <v>60</v>
      </c>
    </row>
    <row r="36" spans="1:7" x14ac:dyDescent="0.25">
      <c r="A36">
        <v>6.2798800000000002E-2</v>
      </c>
      <c r="B36">
        <f t="shared" si="0"/>
        <v>62.7988</v>
      </c>
      <c r="C36">
        <v>-0.64879200000000004</v>
      </c>
      <c r="D36">
        <v>-0.64879200000000004</v>
      </c>
      <c r="G36" t="s">
        <v>16</v>
      </c>
    </row>
    <row r="37" spans="1:7" x14ac:dyDescent="0.25">
      <c r="A37">
        <v>6.4761299999999994E-2</v>
      </c>
      <c r="B37">
        <f t="shared" si="0"/>
        <v>64.761299999999991</v>
      </c>
      <c r="C37">
        <v>-0.65790800000000005</v>
      </c>
      <c r="D37">
        <v>-0.65790800000000005</v>
      </c>
      <c r="E37">
        <v>12</v>
      </c>
      <c r="F37" t="s">
        <v>17</v>
      </c>
    </row>
    <row r="38" spans="1:7" x14ac:dyDescent="0.25">
      <c r="A38">
        <v>6.67238E-2</v>
      </c>
      <c r="B38">
        <f t="shared" si="0"/>
        <v>66.723799999999997</v>
      </c>
      <c r="C38">
        <v>-0.65479299999999996</v>
      </c>
      <c r="D38">
        <v>-0.65479299999999996</v>
      </c>
      <c r="G38" t="s">
        <v>61</v>
      </c>
    </row>
    <row r="39" spans="1:7" x14ac:dyDescent="0.25">
      <c r="A39">
        <v>6.8686200000000003E-2</v>
      </c>
      <c r="B39">
        <f t="shared" si="0"/>
        <v>68.686199999999999</v>
      </c>
      <c r="C39">
        <v>-0.64859</v>
      </c>
      <c r="D39">
        <v>-0.64859</v>
      </c>
      <c r="E39">
        <v>13</v>
      </c>
      <c r="F39" t="s">
        <v>63</v>
      </c>
    </row>
    <row r="40" spans="1:7" x14ac:dyDescent="0.25">
      <c r="A40">
        <v>7.0648699999999995E-2</v>
      </c>
      <c r="B40">
        <f t="shared" si="0"/>
        <v>70.648699999999991</v>
      </c>
      <c r="C40">
        <v>-0.65203</v>
      </c>
      <c r="D40">
        <v>-0.65203</v>
      </c>
      <c r="G40" t="s">
        <v>64</v>
      </c>
    </row>
    <row r="41" spans="1:7" x14ac:dyDescent="0.25">
      <c r="A41">
        <v>7.2611099999999998E-2</v>
      </c>
      <c r="B41">
        <f t="shared" si="0"/>
        <v>72.611099999999993</v>
      </c>
      <c r="C41">
        <v>-0.65493599999999996</v>
      </c>
      <c r="D41">
        <v>-0.65493599999999996</v>
      </c>
      <c r="E41">
        <v>14</v>
      </c>
      <c r="F41" t="s">
        <v>44</v>
      </c>
    </row>
    <row r="42" spans="1:7" x14ac:dyDescent="0.25">
      <c r="A42">
        <v>7.4573600000000004E-2</v>
      </c>
      <c r="B42">
        <f t="shared" si="0"/>
        <v>74.573599999999999</v>
      </c>
      <c r="C42">
        <v>-0.65432800000000002</v>
      </c>
      <c r="D42">
        <v>-0.65432800000000002</v>
      </c>
      <c r="G42" t="s">
        <v>62</v>
      </c>
    </row>
    <row r="43" spans="1:7" x14ac:dyDescent="0.25">
      <c r="A43">
        <v>7.6536099999999996E-2</v>
      </c>
      <c r="B43">
        <f t="shared" si="0"/>
        <v>76.53609999999999</v>
      </c>
      <c r="C43">
        <v>-0.65391600000000005</v>
      </c>
      <c r="D43">
        <v>-0.65391600000000005</v>
      </c>
      <c r="G43" t="s">
        <v>45</v>
      </c>
    </row>
    <row r="44" spans="1:7" x14ac:dyDescent="0.25">
      <c r="A44">
        <v>7.8498499999999999E-2</v>
      </c>
      <c r="B44">
        <f t="shared" si="0"/>
        <v>78.498499999999993</v>
      </c>
      <c r="C44">
        <v>-0.65205599999999997</v>
      </c>
      <c r="D44">
        <v>-0.65205599999999997</v>
      </c>
      <c r="G44" t="s">
        <v>67</v>
      </c>
    </row>
    <row r="45" spans="1:7" x14ac:dyDescent="0.25">
      <c r="A45">
        <v>8.0461000000000005E-2</v>
      </c>
      <c r="B45">
        <f t="shared" si="0"/>
        <v>80.460999999999999</v>
      </c>
      <c r="C45">
        <v>-0.64465899999999998</v>
      </c>
      <c r="D45">
        <v>-0.64465899999999998</v>
      </c>
    </row>
    <row r="46" spans="1:7" x14ac:dyDescent="0.25">
      <c r="A46">
        <v>8.2423499999999997E-2</v>
      </c>
      <c r="B46">
        <f t="shared" si="0"/>
        <v>82.42349999999999</v>
      </c>
      <c r="C46">
        <v>-0.64312100000000005</v>
      </c>
      <c r="D46">
        <v>-0.64312100000000005</v>
      </c>
    </row>
    <row r="47" spans="1:7" x14ac:dyDescent="0.25">
      <c r="A47">
        <v>8.43859E-2</v>
      </c>
      <c r="B47">
        <f t="shared" si="0"/>
        <v>84.385900000000007</v>
      </c>
      <c r="C47">
        <v>-0.64337</v>
      </c>
      <c r="D47">
        <v>-0.64337</v>
      </c>
    </row>
    <row r="48" spans="1:7" x14ac:dyDescent="0.25">
      <c r="A48">
        <v>8.6348400000000006E-2</v>
      </c>
      <c r="B48">
        <f t="shared" si="0"/>
        <v>86.348400000000012</v>
      </c>
      <c r="C48">
        <v>-0.64657799999999999</v>
      </c>
      <c r="D48">
        <v>-0.64657799999999999</v>
      </c>
    </row>
    <row r="49" spans="1:4" x14ac:dyDescent="0.25">
      <c r="A49">
        <v>8.8310899999999998E-2</v>
      </c>
      <c r="B49">
        <f t="shared" si="0"/>
        <v>88.310900000000004</v>
      </c>
      <c r="C49">
        <v>-0.654474</v>
      </c>
      <c r="D49">
        <v>-0.654474</v>
      </c>
    </row>
    <row r="50" spans="1:4" x14ac:dyDescent="0.25">
      <c r="A50">
        <v>9.0273300000000001E-2</v>
      </c>
      <c r="B50">
        <f t="shared" si="0"/>
        <v>90.273300000000006</v>
      </c>
      <c r="C50">
        <v>-0.65076100000000003</v>
      </c>
      <c r="D50">
        <v>-0.65076100000000003</v>
      </c>
    </row>
    <row r="51" spans="1:4" x14ac:dyDescent="0.25">
      <c r="A51">
        <v>9.2235800000000007E-2</v>
      </c>
      <c r="B51">
        <f t="shared" si="0"/>
        <v>92.235800000000012</v>
      </c>
      <c r="C51">
        <v>-0.65339100000000006</v>
      </c>
      <c r="D51">
        <v>-0.65339100000000006</v>
      </c>
    </row>
    <row r="52" spans="1:4" x14ac:dyDescent="0.25">
      <c r="A52">
        <v>9.4198199999999996E-2</v>
      </c>
      <c r="B52">
        <f t="shared" si="0"/>
        <v>94.1982</v>
      </c>
      <c r="C52">
        <v>-0.64990499999999995</v>
      </c>
      <c r="D52">
        <v>-0.64990499999999995</v>
      </c>
    </row>
    <row r="53" spans="1:4" x14ac:dyDescent="0.25">
      <c r="A53">
        <v>9.6160700000000002E-2</v>
      </c>
      <c r="B53">
        <f t="shared" si="0"/>
        <v>96.160700000000006</v>
      </c>
      <c r="C53">
        <v>-0.65104499999999998</v>
      </c>
      <c r="D53">
        <v>-0.65104499999999998</v>
      </c>
    </row>
    <row r="54" spans="1:4" x14ac:dyDescent="0.25">
      <c r="A54">
        <v>9.8123199999999994E-2</v>
      </c>
      <c r="B54">
        <f t="shared" si="0"/>
        <v>98.123199999999997</v>
      </c>
      <c r="C54">
        <v>-0.64914799999999995</v>
      </c>
      <c r="D54">
        <v>-0.64914799999999995</v>
      </c>
    </row>
    <row r="55" spans="1:4" x14ac:dyDescent="0.25">
      <c r="A55">
        <v>0.10008599999999999</v>
      </c>
      <c r="B55">
        <f t="shared" si="0"/>
        <v>100.086</v>
      </c>
      <c r="C55">
        <v>-0.65349699999999999</v>
      </c>
      <c r="D55">
        <v>-0.65349699999999999</v>
      </c>
    </row>
    <row r="56" spans="1:4" x14ac:dyDescent="0.25">
      <c r="A56">
        <v>0.102048</v>
      </c>
      <c r="B56">
        <f t="shared" si="0"/>
        <v>102.048</v>
      </c>
      <c r="C56">
        <v>-0.65464</v>
      </c>
      <c r="D56">
        <v>-0.65464</v>
      </c>
    </row>
    <row r="57" spans="1:4" x14ac:dyDescent="0.25">
      <c r="A57">
        <v>0.10401100000000001</v>
      </c>
      <c r="B57">
        <f t="shared" si="0"/>
        <v>104.01100000000001</v>
      </c>
      <c r="C57">
        <v>-0.65760399999999997</v>
      </c>
      <c r="D57">
        <v>-0.65760399999999997</v>
      </c>
    </row>
    <row r="58" spans="1:4" x14ac:dyDescent="0.25">
      <c r="A58">
        <v>0.105973</v>
      </c>
      <c r="B58">
        <f t="shared" si="0"/>
        <v>105.973</v>
      </c>
      <c r="C58">
        <v>-0.65229199999999998</v>
      </c>
      <c r="D58">
        <v>-0.65229199999999998</v>
      </c>
    </row>
    <row r="59" spans="1:4" x14ac:dyDescent="0.25">
      <c r="A59">
        <v>0.107935</v>
      </c>
      <c r="B59">
        <f t="shared" si="0"/>
        <v>107.935</v>
      </c>
      <c r="C59">
        <v>-0.64872300000000005</v>
      </c>
      <c r="D59">
        <v>-0.64872300000000005</v>
      </c>
    </row>
    <row r="60" spans="1:4" x14ac:dyDescent="0.25">
      <c r="A60">
        <v>0.109898</v>
      </c>
      <c r="B60">
        <f t="shared" si="0"/>
        <v>109.898</v>
      </c>
      <c r="C60">
        <v>-0.64661299999999999</v>
      </c>
      <c r="D60">
        <v>-0.64661299999999999</v>
      </c>
    </row>
    <row r="61" spans="1:4" x14ac:dyDescent="0.25">
      <c r="A61">
        <v>0.11186</v>
      </c>
      <c r="B61">
        <f t="shared" si="0"/>
        <v>111.86</v>
      </c>
      <c r="C61">
        <v>-0.65271999999999997</v>
      </c>
      <c r="D61">
        <v>-0.65271999999999997</v>
      </c>
    </row>
    <row r="62" spans="1:4" x14ac:dyDescent="0.25">
      <c r="A62">
        <v>0.11382299999999999</v>
      </c>
      <c r="B62">
        <f t="shared" si="0"/>
        <v>113.82299999999999</v>
      </c>
      <c r="C62">
        <v>-0.65606500000000001</v>
      </c>
      <c r="D62">
        <v>-0.65606500000000001</v>
      </c>
    </row>
    <row r="63" spans="1:4" x14ac:dyDescent="0.25">
      <c r="A63">
        <v>0.115785</v>
      </c>
      <c r="B63">
        <f t="shared" si="0"/>
        <v>115.785</v>
      </c>
      <c r="C63">
        <v>-0.65746099999999996</v>
      </c>
      <c r="D63">
        <v>-0.65746099999999996</v>
      </c>
    </row>
    <row r="64" spans="1:4" x14ac:dyDescent="0.25">
      <c r="A64">
        <v>0.11774800000000001</v>
      </c>
      <c r="B64">
        <f t="shared" si="0"/>
        <v>117.748</v>
      </c>
      <c r="C64">
        <v>-0.660806</v>
      </c>
      <c r="D64">
        <v>-0.660806</v>
      </c>
    </row>
    <row r="65" spans="1:4" x14ac:dyDescent="0.25">
      <c r="A65">
        <v>0.11971</v>
      </c>
      <c r="B65">
        <f t="shared" si="0"/>
        <v>119.71</v>
      </c>
      <c r="C65">
        <v>-0.66148099999999999</v>
      </c>
      <c r="D65">
        <v>-0.66148099999999999</v>
      </c>
    </row>
    <row r="66" spans="1:4" x14ac:dyDescent="0.25">
      <c r="A66">
        <v>0.121673</v>
      </c>
      <c r="B66">
        <f t="shared" si="0"/>
        <v>121.673</v>
      </c>
      <c r="C66">
        <v>-0.66477200000000003</v>
      </c>
      <c r="D66">
        <v>-0.66477200000000003</v>
      </c>
    </row>
    <row r="67" spans="1:4" x14ac:dyDescent="0.25">
      <c r="A67">
        <v>0.12363499999999999</v>
      </c>
      <c r="B67">
        <f t="shared" si="0"/>
        <v>123.63499999999999</v>
      </c>
      <c r="C67">
        <v>-0.66305800000000004</v>
      </c>
      <c r="D67">
        <v>-0.66305800000000004</v>
      </c>
    </row>
    <row r="68" spans="1:4" x14ac:dyDescent="0.25">
      <c r="A68">
        <v>0.12559799999999999</v>
      </c>
      <c r="B68">
        <f t="shared" si="0"/>
        <v>125.59799999999998</v>
      </c>
      <c r="C68">
        <v>-0.66010000000000002</v>
      </c>
      <c r="D68">
        <v>-0.66010000000000002</v>
      </c>
    </row>
    <row r="69" spans="1:4" x14ac:dyDescent="0.25">
      <c r="A69">
        <v>0.12756000000000001</v>
      </c>
      <c r="B69">
        <f t="shared" ref="B69:B132" si="1">A69*1000</f>
        <v>127.56</v>
      </c>
      <c r="C69">
        <v>-0.65489699999999995</v>
      </c>
      <c r="D69">
        <v>-0.65489699999999995</v>
      </c>
    </row>
    <row r="70" spans="1:4" x14ac:dyDescent="0.25">
      <c r="A70">
        <v>0.129523</v>
      </c>
      <c r="B70">
        <f t="shared" si="1"/>
        <v>129.523</v>
      </c>
      <c r="C70">
        <v>-0.65990700000000002</v>
      </c>
      <c r="D70">
        <v>-0.65990700000000002</v>
      </c>
    </row>
    <row r="71" spans="1:4" x14ac:dyDescent="0.25">
      <c r="A71">
        <v>0.13148499999999999</v>
      </c>
      <c r="B71">
        <f t="shared" si="1"/>
        <v>131.48499999999999</v>
      </c>
      <c r="C71">
        <v>-0.66150900000000001</v>
      </c>
      <c r="D71">
        <v>-0.66150900000000001</v>
      </c>
    </row>
    <row r="72" spans="1:4" x14ac:dyDescent="0.25">
      <c r="A72">
        <v>0.13344800000000001</v>
      </c>
      <c r="B72">
        <f t="shared" si="1"/>
        <v>133.44800000000001</v>
      </c>
      <c r="C72">
        <v>-0.66145299999999996</v>
      </c>
      <c r="D72">
        <v>-0.66145299999999996</v>
      </c>
    </row>
    <row r="73" spans="1:4" x14ac:dyDescent="0.25">
      <c r="A73">
        <v>0.13541</v>
      </c>
      <c r="B73">
        <f t="shared" si="1"/>
        <v>135.41</v>
      </c>
      <c r="C73">
        <v>-0.65568000000000004</v>
      </c>
      <c r="D73">
        <v>-0.65568000000000004</v>
      </c>
    </row>
    <row r="74" spans="1:4" x14ac:dyDescent="0.25">
      <c r="A74">
        <v>0.13737199999999999</v>
      </c>
      <c r="B74">
        <f t="shared" si="1"/>
        <v>137.37199999999999</v>
      </c>
      <c r="C74">
        <v>-0.65893699999999999</v>
      </c>
      <c r="D74">
        <v>-0.65893699999999999</v>
      </c>
    </row>
    <row r="75" spans="1:4" x14ac:dyDescent="0.25">
      <c r="A75">
        <v>0.13933499999999999</v>
      </c>
      <c r="B75">
        <f t="shared" si="1"/>
        <v>139.33499999999998</v>
      </c>
      <c r="C75">
        <v>-0.66112700000000002</v>
      </c>
      <c r="D75">
        <v>-0.66112700000000002</v>
      </c>
    </row>
    <row r="76" spans="1:4" x14ac:dyDescent="0.25">
      <c r="A76">
        <v>0.14129700000000001</v>
      </c>
      <c r="B76">
        <f t="shared" si="1"/>
        <v>141.297</v>
      </c>
      <c r="C76">
        <v>-0.66320500000000004</v>
      </c>
      <c r="D76">
        <v>-0.66320500000000004</v>
      </c>
    </row>
    <row r="77" spans="1:4" x14ac:dyDescent="0.25">
      <c r="A77">
        <v>0.14326</v>
      </c>
      <c r="B77">
        <f t="shared" si="1"/>
        <v>143.26</v>
      </c>
      <c r="C77">
        <v>-0.66375200000000001</v>
      </c>
      <c r="D77">
        <v>-0.66375200000000001</v>
      </c>
    </row>
    <row r="78" spans="1:4" x14ac:dyDescent="0.25">
      <c r="A78">
        <v>0.14522199999999999</v>
      </c>
      <c r="B78">
        <f t="shared" si="1"/>
        <v>145.22199999999998</v>
      </c>
      <c r="C78">
        <v>-0.65810999999999997</v>
      </c>
      <c r="D78">
        <v>-0.65810999999999997</v>
      </c>
    </row>
    <row r="79" spans="1:4" x14ac:dyDescent="0.25">
      <c r="A79">
        <v>0.14718500000000001</v>
      </c>
      <c r="B79">
        <f t="shared" si="1"/>
        <v>147.185</v>
      </c>
      <c r="C79">
        <v>-0.65803500000000004</v>
      </c>
      <c r="D79">
        <v>-0.65803500000000004</v>
      </c>
    </row>
    <row r="80" spans="1:4" x14ac:dyDescent="0.25">
      <c r="A80">
        <v>0.149147</v>
      </c>
      <c r="B80">
        <f t="shared" si="1"/>
        <v>149.14699999999999</v>
      </c>
      <c r="C80">
        <v>-0.65895800000000004</v>
      </c>
      <c r="D80">
        <v>-0.65895800000000004</v>
      </c>
    </row>
    <row r="81" spans="1:4" x14ac:dyDescent="0.25">
      <c r="A81">
        <v>0.15110999999999999</v>
      </c>
      <c r="B81">
        <f t="shared" si="1"/>
        <v>151.10999999999999</v>
      </c>
      <c r="C81">
        <v>-0.65868499999999996</v>
      </c>
      <c r="D81">
        <v>-0.65868499999999996</v>
      </c>
    </row>
    <row r="82" spans="1:4" x14ac:dyDescent="0.25">
      <c r="A82">
        <v>0.15307200000000001</v>
      </c>
      <c r="B82">
        <f t="shared" si="1"/>
        <v>153.072</v>
      </c>
      <c r="C82">
        <v>-0.66432000000000002</v>
      </c>
      <c r="D82">
        <v>-0.66432000000000002</v>
      </c>
    </row>
    <row r="83" spans="1:4" x14ac:dyDescent="0.25">
      <c r="A83">
        <v>0.15503500000000001</v>
      </c>
      <c r="B83">
        <f t="shared" si="1"/>
        <v>155.035</v>
      </c>
      <c r="C83">
        <v>-0.66802799999999996</v>
      </c>
      <c r="D83">
        <v>-0.66802799999999996</v>
      </c>
    </row>
    <row r="84" spans="1:4" x14ac:dyDescent="0.25">
      <c r="A84">
        <v>0.156997</v>
      </c>
      <c r="B84">
        <f t="shared" si="1"/>
        <v>156.99699999999999</v>
      </c>
      <c r="C84">
        <v>-0.66939099999999996</v>
      </c>
      <c r="D84">
        <v>-0.66939099999999996</v>
      </c>
    </row>
    <row r="85" spans="1:4" x14ac:dyDescent="0.25">
      <c r="A85">
        <v>0.15895999999999999</v>
      </c>
      <c r="B85">
        <f t="shared" si="1"/>
        <v>158.95999999999998</v>
      </c>
      <c r="C85">
        <v>-0.66632999999999998</v>
      </c>
      <c r="D85">
        <v>-0.66632999999999998</v>
      </c>
    </row>
    <row r="86" spans="1:4" x14ac:dyDescent="0.25">
      <c r="A86">
        <v>0.16092200000000001</v>
      </c>
      <c r="B86">
        <f t="shared" si="1"/>
        <v>160.922</v>
      </c>
      <c r="C86">
        <v>-0.66768799999999995</v>
      </c>
      <c r="D86">
        <v>-0.66768799999999995</v>
      </c>
    </row>
    <row r="87" spans="1:4" x14ac:dyDescent="0.25">
      <c r="A87">
        <v>0.162884</v>
      </c>
      <c r="B87">
        <f t="shared" si="1"/>
        <v>162.88400000000001</v>
      </c>
      <c r="C87">
        <v>-0.66822000000000004</v>
      </c>
      <c r="D87">
        <v>-0.66822000000000004</v>
      </c>
    </row>
    <row r="88" spans="1:4" x14ac:dyDescent="0.25">
      <c r="A88">
        <v>0.16484699999999999</v>
      </c>
      <c r="B88">
        <f t="shared" si="1"/>
        <v>164.84699999999998</v>
      </c>
      <c r="C88">
        <v>-0.666265</v>
      </c>
      <c r="D88">
        <v>-0.666265</v>
      </c>
    </row>
    <row r="89" spans="1:4" x14ac:dyDescent="0.25">
      <c r="A89">
        <v>0.16680900000000001</v>
      </c>
      <c r="B89">
        <f t="shared" si="1"/>
        <v>166.80900000000003</v>
      </c>
      <c r="C89">
        <v>-0.66952699999999998</v>
      </c>
      <c r="D89">
        <v>-0.66952699999999998</v>
      </c>
    </row>
    <row r="90" spans="1:4" x14ac:dyDescent="0.25">
      <c r="A90">
        <v>0.16877200000000001</v>
      </c>
      <c r="B90">
        <f t="shared" si="1"/>
        <v>168.77199999999999</v>
      </c>
      <c r="C90">
        <v>-0.66552500000000003</v>
      </c>
      <c r="D90">
        <v>-0.66552500000000003</v>
      </c>
    </row>
    <row r="91" spans="1:4" x14ac:dyDescent="0.25">
      <c r="A91">
        <v>0.170734</v>
      </c>
      <c r="B91">
        <f t="shared" si="1"/>
        <v>170.73400000000001</v>
      </c>
      <c r="C91">
        <v>-0.66725400000000001</v>
      </c>
      <c r="D91">
        <v>-0.66725400000000001</v>
      </c>
    </row>
    <row r="92" spans="1:4" x14ac:dyDescent="0.25">
      <c r="A92">
        <v>0.17269699999999999</v>
      </c>
      <c r="B92">
        <f t="shared" si="1"/>
        <v>172.697</v>
      </c>
      <c r="C92">
        <v>-0.67121900000000001</v>
      </c>
      <c r="D92">
        <v>-0.67121900000000001</v>
      </c>
    </row>
    <row r="93" spans="1:4" x14ac:dyDescent="0.25">
      <c r="A93">
        <v>0.17465900000000001</v>
      </c>
      <c r="B93">
        <f t="shared" si="1"/>
        <v>174.65900000000002</v>
      </c>
      <c r="C93">
        <v>-0.66786000000000001</v>
      </c>
      <c r="D93">
        <v>-0.66786000000000001</v>
      </c>
    </row>
    <row r="94" spans="1:4" x14ac:dyDescent="0.25">
      <c r="A94">
        <v>0.176622</v>
      </c>
      <c r="B94">
        <f t="shared" si="1"/>
        <v>176.62200000000001</v>
      </c>
      <c r="C94">
        <v>-0.67438200000000004</v>
      </c>
      <c r="D94">
        <v>-0.67438200000000004</v>
      </c>
    </row>
    <row r="95" spans="1:4" x14ac:dyDescent="0.25">
      <c r="A95">
        <v>0.17858399999999999</v>
      </c>
      <c r="B95">
        <f t="shared" si="1"/>
        <v>178.584</v>
      </c>
      <c r="C95">
        <v>-0.69416199999999995</v>
      </c>
      <c r="D95">
        <v>-0.69416199999999995</v>
      </c>
    </row>
    <row r="96" spans="1:4" x14ac:dyDescent="0.25">
      <c r="A96">
        <v>0.18054700000000001</v>
      </c>
      <c r="B96">
        <f t="shared" si="1"/>
        <v>180.54700000000003</v>
      </c>
      <c r="C96">
        <v>-0.14058300000000001</v>
      </c>
      <c r="D96">
        <v>-0.14058300000000001</v>
      </c>
    </row>
    <row r="97" spans="1:4" x14ac:dyDescent="0.25">
      <c r="A97">
        <v>0.182509</v>
      </c>
      <c r="B97">
        <f t="shared" si="1"/>
        <v>182.50900000000001</v>
      </c>
      <c r="C97">
        <v>2.63866E-2</v>
      </c>
      <c r="D97">
        <v>2.63866E-2</v>
      </c>
    </row>
    <row r="98" spans="1:4" x14ac:dyDescent="0.25">
      <c r="A98">
        <v>0.184472</v>
      </c>
      <c r="B98">
        <f t="shared" si="1"/>
        <v>184.47200000000001</v>
      </c>
      <c r="C98">
        <v>1.32222E-2</v>
      </c>
      <c r="D98">
        <v>1.32222E-2</v>
      </c>
    </row>
    <row r="99" spans="1:4" x14ac:dyDescent="0.25">
      <c r="A99">
        <v>0.18643399999999999</v>
      </c>
      <c r="B99">
        <f t="shared" si="1"/>
        <v>186.434</v>
      </c>
      <c r="C99">
        <v>1.2786099999999999E-3</v>
      </c>
      <c r="D99">
        <v>1.2786099999999999E-3</v>
      </c>
    </row>
    <row r="100" spans="1:4" x14ac:dyDescent="0.25">
      <c r="A100">
        <v>0.18839600000000001</v>
      </c>
      <c r="B100">
        <f t="shared" si="1"/>
        <v>188.39600000000002</v>
      </c>
      <c r="C100">
        <v>5.4346899999999998E-4</v>
      </c>
      <c r="D100">
        <v>5.4346899999999998E-4</v>
      </c>
    </row>
    <row r="101" spans="1:4" x14ac:dyDescent="0.25">
      <c r="A101">
        <v>0.190359</v>
      </c>
      <c r="B101">
        <f t="shared" si="1"/>
        <v>190.35900000000001</v>
      </c>
      <c r="C101">
        <v>7.5890899999999997E-3</v>
      </c>
      <c r="D101">
        <v>7.5890899999999997E-3</v>
      </c>
    </row>
    <row r="102" spans="1:4" x14ac:dyDescent="0.25">
      <c r="A102">
        <v>0.19232099999999999</v>
      </c>
      <c r="B102">
        <f t="shared" si="1"/>
        <v>192.321</v>
      </c>
      <c r="C102">
        <v>1.01022E-4</v>
      </c>
      <c r="D102">
        <v>1.01022E-4</v>
      </c>
    </row>
    <row r="103" spans="1:4" x14ac:dyDescent="0.25">
      <c r="A103">
        <v>0.19428400000000001</v>
      </c>
      <c r="B103">
        <f t="shared" si="1"/>
        <v>194.28400000000002</v>
      </c>
      <c r="C103">
        <v>-2.0061900000000001E-3</v>
      </c>
      <c r="D103">
        <v>-2.0061900000000001E-3</v>
      </c>
    </row>
    <row r="104" spans="1:4" x14ac:dyDescent="0.25">
      <c r="A104">
        <v>0.196246</v>
      </c>
      <c r="B104">
        <f t="shared" si="1"/>
        <v>196.24600000000001</v>
      </c>
      <c r="C104">
        <v>2.98621E-3</v>
      </c>
      <c r="D104">
        <v>2.98621E-3</v>
      </c>
    </row>
    <row r="105" spans="1:4" x14ac:dyDescent="0.25">
      <c r="A105">
        <v>0.198209</v>
      </c>
      <c r="B105">
        <f t="shared" si="1"/>
        <v>198.209</v>
      </c>
      <c r="C105">
        <v>2.1738000000000001E-4</v>
      </c>
      <c r="D105">
        <v>2.1738000000000001E-4</v>
      </c>
    </row>
    <row r="106" spans="1:4" x14ac:dyDescent="0.25">
      <c r="A106">
        <v>0.20017099999999999</v>
      </c>
      <c r="B106">
        <f t="shared" si="1"/>
        <v>200.17099999999999</v>
      </c>
      <c r="C106">
        <v>4.2478699999999999E-3</v>
      </c>
      <c r="D106">
        <v>4.2478699999999999E-3</v>
      </c>
    </row>
    <row r="107" spans="1:4" x14ac:dyDescent="0.25">
      <c r="A107">
        <v>0.20213400000000001</v>
      </c>
      <c r="B107">
        <f t="shared" si="1"/>
        <v>202.13400000000001</v>
      </c>
      <c r="C107">
        <v>7.3750300000000003E-3</v>
      </c>
      <c r="D107">
        <v>7.3750300000000003E-3</v>
      </c>
    </row>
    <row r="108" spans="1:4" x14ac:dyDescent="0.25">
      <c r="A108">
        <v>0.204096</v>
      </c>
      <c r="B108">
        <f t="shared" si="1"/>
        <v>204.096</v>
      </c>
      <c r="C108">
        <v>1.4103299999999999E-2</v>
      </c>
      <c r="D108">
        <v>1.4103299999999999E-2</v>
      </c>
    </row>
    <row r="109" spans="1:4" x14ac:dyDescent="0.25">
      <c r="A109">
        <v>0.20605899999999999</v>
      </c>
      <c r="B109">
        <f t="shared" si="1"/>
        <v>206.059</v>
      </c>
      <c r="C109">
        <v>1.3143500000000001E-2</v>
      </c>
      <c r="D109">
        <v>1.3143500000000001E-2</v>
      </c>
    </row>
    <row r="110" spans="1:4" x14ac:dyDescent="0.25">
      <c r="A110">
        <v>0.20802100000000001</v>
      </c>
      <c r="B110">
        <f t="shared" si="1"/>
        <v>208.02100000000002</v>
      </c>
      <c r="C110">
        <v>5.0548700000000004E-3</v>
      </c>
      <c r="D110">
        <v>5.0548700000000004E-3</v>
      </c>
    </row>
    <row r="111" spans="1:4" x14ac:dyDescent="0.25">
      <c r="A111">
        <v>0.209984</v>
      </c>
      <c r="B111">
        <f t="shared" si="1"/>
        <v>209.98400000000001</v>
      </c>
      <c r="C111">
        <v>-4.9795899999999999E-3</v>
      </c>
      <c r="D111">
        <v>-4.9795899999999999E-3</v>
      </c>
    </row>
    <row r="112" spans="1:4" x14ac:dyDescent="0.25">
      <c r="A112">
        <v>0.211946</v>
      </c>
      <c r="B112">
        <f t="shared" si="1"/>
        <v>211.946</v>
      </c>
      <c r="C112">
        <v>-1.2894900000000001E-2</v>
      </c>
      <c r="D112">
        <v>-1.2894900000000001E-2</v>
      </c>
    </row>
    <row r="113" spans="1:4" x14ac:dyDescent="0.25">
      <c r="A113">
        <v>0.21390899999999999</v>
      </c>
      <c r="B113">
        <f t="shared" si="1"/>
        <v>213.90899999999999</v>
      </c>
      <c r="C113">
        <v>-1.4816599999999999E-2</v>
      </c>
      <c r="D113">
        <v>-1.4816599999999999E-2</v>
      </c>
    </row>
    <row r="114" spans="1:4" x14ac:dyDescent="0.25">
      <c r="A114">
        <v>0.21587100000000001</v>
      </c>
      <c r="B114">
        <f t="shared" si="1"/>
        <v>215.87100000000001</v>
      </c>
      <c r="C114">
        <v>-2.8710400000000001E-3</v>
      </c>
      <c r="D114">
        <v>-2.8710400000000001E-3</v>
      </c>
    </row>
    <row r="115" spans="1:4" x14ac:dyDescent="0.25">
      <c r="A115">
        <v>0.217833</v>
      </c>
      <c r="B115">
        <f t="shared" si="1"/>
        <v>217.833</v>
      </c>
      <c r="C115">
        <v>8.8571899999999992E-3</v>
      </c>
      <c r="D115">
        <v>8.8571899999999992E-3</v>
      </c>
    </row>
    <row r="116" spans="1:4" x14ac:dyDescent="0.25">
      <c r="A116">
        <v>0.21979599999999999</v>
      </c>
      <c r="B116">
        <f t="shared" si="1"/>
        <v>219.79599999999999</v>
      </c>
      <c r="C116">
        <v>1.22554E-2</v>
      </c>
      <c r="D116">
        <v>1.22554E-2</v>
      </c>
    </row>
    <row r="117" spans="1:4" x14ac:dyDescent="0.25">
      <c r="A117">
        <v>0.22175800000000001</v>
      </c>
      <c r="B117">
        <f t="shared" si="1"/>
        <v>221.75800000000001</v>
      </c>
      <c r="C117">
        <v>5.5583000000000004E-3</v>
      </c>
      <c r="D117">
        <v>5.5583000000000004E-3</v>
      </c>
    </row>
    <row r="118" spans="1:4" x14ac:dyDescent="0.25">
      <c r="A118">
        <v>0.223721</v>
      </c>
      <c r="B118">
        <f t="shared" si="1"/>
        <v>223.721</v>
      </c>
      <c r="C118">
        <v>-1.5244900000000001E-3</v>
      </c>
      <c r="D118">
        <v>-1.5244900000000001E-3</v>
      </c>
    </row>
    <row r="119" spans="1:4" x14ac:dyDescent="0.25">
      <c r="A119">
        <v>0.22568299999999999</v>
      </c>
      <c r="B119">
        <f t="shared" si="1"/>
        <v>225.68299999999999</v>
      </c>
      <c r="C119">
        <v>-8.7488900000000005E-3</v>
      </c>
      <c r="D119">
        <v>-8.7488900000000005E-3</v>
      </c>
    </row>
    <row r="120" spans="1:4" x14ac:dyDescent="0.25">
      <c r="A120">
        <v>0.22764599999999999</v>
      </c>
      <c r="B120">
        <f t="shared" si="1"/>
        <v>227.64599999999999</v>
      </c>
      <c r="C120">
        <v>-1.9608500000000001E-2</v>
      </c>
      <c r="D120">
        <v>-1.9608500000000001E-2</v>
      </c>
    </row>
    <row r="121" spans="1:4" x14ac:dyDescent="0.25">
      <c r="A121">
        <v>0.22960800000000001</v>
      </c>
      <c r="B121">
        <f t="shared" si="1"/>
        <v>229.608</v>
      </c>
      <c r="C121">
        <v>-1.43427E-2</v>
      </c>
      <c r="D121">
        <v>-1.43427E-2</v>
      </c>
    </row>
    <row r="122" spans="1:4" x14ac:dyDescent="0.25">
      <c r="A122">
        <v>0.231571</v>
      </c>
      <c r="B122">
        <f t="shared" si="1"/>
        <v>231.571</v>
      </c>
      <c r="C122">
        <v>-7.03829E-3</v>
      </c>
      <c r="D122">
        <v>-7.03829E-3</v>
      </c>
    </row>
    <row r="123" spans="1:4" x14ac:dyDescent="0.25">
      <c r="A123">
        <v>0.23353299999999999</v>
      </c>
      <c r="B123">
        <f t="shared" si="1"/>
        <v>233.53299999999999</v>
      </c>
      <c r="C123">
        <v>-1.0741799999999999E-4</v>
      </c>
      <c r="D123">
        <v>-1.0741799999999999E-4</v>
      </c>
    </row>
    <row r="124" spans="1:4" x14ac:dyDescent="0.25">
      <c r="A124">
        <v>0.23549600000000001</v>
      </c>
      <c r="B124">
        <f t="shared" si="1"/>
        <v>235.49600000000001</v>
      </c>
      <c r="C124">
        <v>-3.3962800000000002E-4</v>
      </c>
      <c r="D124">
        <v>-3.3962800000000002E-4</v>
      </c>
    </row>
    <row r="125" spans="1:4" x14ac:dyDescent="0.25">
      <c r="A125">
        <v>0.237458</v>
      </c>
      <c r="B125">
        <f t="shared" si="1"/>
        <v>237.458</v>
      </c>
      <c r="C125">
        <v>-5.3838499999999999E-3</v>
      </c>
      <c r="D125">
        <v>-5.3838499999999999E-3</v>
      </c>
    </row>
    <row r="126" spans="1:4" x14ac:dyDescent="0.25">
      <c r="A126">
        <v>0.23942099999999999</v>
      </c>
      <c r="B126">
        <f t="shared" si="1"/>
        <v>239.42099999999999</v>
      </c>
      <c r="C126">
        <v>7.6871600000000002E-3</v>
      </c>
      <c r="D126">
        <v>7.6871600000000002E-3</v>
      </c>
    </row>
    <row r="127" spans="1:4" x14ac:dyDescent="0.25">
      <c r="A127">
        <v>0.24138299999999999</v>
      </c>
      <c r="B127">
        <f t="shared" si="1"/>
        <v>241.38299999999998</v>
      </c>
      <c r="C127">
        <v>2.2291399999999999E-2</v>
      </c>
      <c r="D127">
        <v>2.2291399999999999E-2</v>
      </c>
    </row>
    <row r="128" spans="1:4" x14ac:dyDescent="0.25">
      <c r="A128">
        <v>0.24334500000000001</v>
      </c>
      <c r="B128">
        <f t="shared" si="1"/>
        <v>243.345</v>
      </c>
      <c r="C128">
        <v>-7.6302599999999998E-2</v>
      </c>
      <c r="D128">
        <v>-7.6302599999999998E-2</v>
      </c>
    </row>
    <row r="129" spans="1:4" x14ac:dyDescent="0.25">
      <c r="A129">
        <v>0.245308</v>
      </c>
      <c r="B129">
        <f t="shared" si="1"/>
        <v>245.30799999999999</v>
      </c>
      <c r="C129">
        <v>0.68939499999999998</v>
      </c>
      <c r="D129">
        <v>0.68939499999999998</v>
      </c>
    </row>
    <row r="130" spans="1:4" x14ac:dyDescent="0.25">
      <c r="A130">
        <v>0.24726999999999999</v>
      </c>
      <c r="B130">
        <f t="shared" si="1"/>
        <v>247.26999999999998</v>
      </c>
      <c r="C130">
        <v>2.3444799999999999</v>
      </c>
      <c r="D130">
        <v>2.3444799999999999</v>
      </c>
    </row>
    <row r="131" spans="1:4" x14ac:dyDescent="0.25">
      <c r="A131">
        <v>0.24923300000000001</v>
      </c>
      <c r="B131">
        <f t="shared" si="1"/>
        <v>249.233</v>
      </c>
      <c r="C131">
        <v>2.9024299999999998</v>
      </c>
      <c r="D131">
        <v>2.9024299999999998</v>
      </c>
    </row>
    <row r="132" spans="1:4" x14ac:dyDescent="0.25">
      <c r="A132">
        <v>0.251195</v>
      </c>
      <c r="B132">
        <f t="shared" si="1"/>
        <v>251.19499999999999</v>
      </c>
      <c r="C132">
        <v>2.92286</v>
      </c>
      <c r="D132">
        <v>2.92286</v>
      </c>
    </row>
    <row r="133" spans="1:4" x14ac:dyDescent="0.25">
      <c r="A133">
        <v>0.25315799999999999</v>
      </c>
      <c r="B133">
        <f t="shared" ref="B133:B196" si="2">A133*1000</f>
        <v>253.15799999999999</v>
      </c>
      <c r="C133">
        <v>2.0956399999999999</v>
      </c>
      <c r="D133">
        <v>2.0956399999999999</v>
      </c>
    </row>
    <row r="134" spans="1:4" x14ac:dyDescent="0.25">
      <c r="A134">
        <v>0.25512000000000001</v>
      </c>
      <c r="B134">
        <f t="shared" si="2"/>
        <v>255.12</v>
      </c>
      <c r="C134">
        <v>3.0304600000000002</v>
      </c>
      <c r="D134">
        <v>3.0304600000000002</v>
      </c>
    </row>
    <row r="135" spans="1:4" x14ac:dyDescent="0.25">
      <c r="A135">
        <v>0.25708300000000001</v>
      </c>
      <c r="B135">
        <f t="shared" si="2"/>
        <v>257.08300000000003</v>
      </c>
      <c r="C135">
        <v>4.7305000000000001</v>
      </c>
      <c r="D135">
        <v>4.7305000000000001</v>
      </c>
    </row>
    <row r="136" spans="1:4" x14ac:dyDescent="0.25">
      <c r="A136">
        <v>0.25904500000000003</v>
      </c>
      <c r="B136">
        <f t="shared" si="2"/>
        <v>259.04500000000002</v>
      </c>
      <c r="C136">
        <v>4.7680699999999998</v>
      </c>
      <c r="D136">
        <v>4.7680699999999998</v>
      </c>
    </row>
    <row r="137" spans="1:4" x14ac:dyDescent="0.25">
      <c r="A137">
        <v>0.26100800000000002</v>
      </c>
      <c r="B137">
        <f t="shared" si="2"/>
        <v>261.00800000000004</v>
      </c>
      <c r="C137">
        <v>4.3579800000000004</v>
      </c>
      <c r="D137">
        <v>4.3579800000000004</v>
      </c>
    </row>
    <row r="138" spans="1:4" x14ac:dyDescent="0.25">
      <c r="A138">
        <v>0.26296999999999998</v>
      </c>
      <c r="B138">
        <f t="shared" si="2"/>
        <v>262.96999999999997</v>
      </c>
      <c r="C138">
        <v>2.8647300000000002</v>
      </c>
      <c r="D138">
        <v>2.8647300000000002</v>
      </c>
    </row>
    <row r="139" spans="1:4" x14ac:dyDescent="0.25">
      <c r="A139">
        <v>0.26493299999999997</v>
      </c>
      <c r="B139">
        <f t="shared" si="2"/>
        <v>264.93299999999999</v>
      </c>
      <c r="C139">
        <v>2.7766199999999999</v>
      </c>
      <c r="D139">
        <v>2.7766199999999999</v>
      </c>
    </row>
    <row r="140" spans="1:4" x14ac:dyDescent="0.25">
      <c r="A140">
        <v>0.26689499999999999</v>
      </c>
      <c r="B140">
        <f t="shared" si="2"/>
        <v>266.89499999999998</v>
      </c>
      <c r="C140">
        <v>2.7774200000000002</v>
      </c>
      <c r="D140">
        <v>2.7774200000000002</v>
      </c>
    </row>
    <row r="141" spans="1:4" x14ac:dyDescent="0.25">
      <c r="A141">
        <v>0.26885700000000001</v>
      </c>
      <c r="B141">
        <f t="shared" si="2"/>
        <v>268.85700000000003</v>
      </c>
      <c r="C141">
        <v>2.78491</v>
      </c>
      <c r="D141">
        <v>2.78491</v>
      </c>
    </row>
    <row r="142" spans="1:4" x14ac:dyDescent="0.25">
      <c r="A142">
        <v>0.27082000000000001</v>
      </c>
      <c r="B142">
        <f t="shared" si="2"/>
        <v>270.82</v>
      </c>
      <c r="C142">
        <v>2.7901600000000002</v>
      </c>
      <c r="D142">
        <v>2.7901600000000002</v>
      </c>
    </row>
    <row r="143" spans="1:4" x14ac:dyDescent="0.25">
      <c r="A143">
        <v>0.27278200000000002</v>
      </c>
      <c r="B143">
        <f t="shared" si="2"/>
        <v>272.78200000000004</v>
      </c>
      <c r="C143">
        <v>2.7939799999999999</v>
      </c>
      <c r="D143">
        <v>2.7939799999999999</v>
      </c>
    </row>
    <row r="144" spans="1:4" x14ac:dyDescent="0.25">
      <c r="A144">
        <v>0.27474500000000002</v>
      </c>
      <c r="B144">
        <f t="shared" si="2"/>
        <v>274.745</v>
      </c>
      <c r="C144">
        <v>2.79095</v>
      </c>
      <c r="D144">
        <v>2.79095</v>
      </c>
    </row>
    <row r="145" spans="1:4" x14ac:dyDescent="0.25">
      <c r="A145">
        <v>0.27670699999999998</v>
      </c>
      <c r="B145">
        <f t="shared" si="2"/>
        <v>276.70699999999999</v>
      </c>
      <c r="C145">
        <v>2.7862800000000001</v>
      </c>
      <c r="D145">
        <v>2.7862800000000001</v>
      </c>
    </row>
    <row r="146" spans="1:4" x14ac:dyDescent="0.25">
      <c r="A146">
        <v>0.27866999999999997</v>
      </c>
      <c r="B146">
        <f t="shared" si="2"/>
        <v>278.66999999999996</v>
      </c>
      <c r="C146">
        <v>2.7831700000000001</v>
      </c>
      <c r="D146">
        <v>2.7831700000000001</v>
      </c>
    </row>
    <row r="147" spans="1:4" x14ac:dyDescent="0.25">
      <c r="A147">
        <v>0.28063199999999999</v>
      </c>
      <c r="B147">
        <f t="shared" si="2"/>
        <v>280.63200000000001</v>
      </c>
      <c r="C147">
        <v>2.7877200000000002</v>
      </c>
      <c r="D147">
        <v>2.7877200000000002</v>
      </c>
    </row>
    <row r="148" spans="1:4" x14ac:dyDescent="0.25">
      <c r="A148">
        <v>0.28259499999999999</v>
      </c>
      <c r="B148">
        <f t="shared" si="2"/>
        <v>282.59499999999997</v>
      </c>
      <c r="C148">
        <v>2.7881999999999998</v>
      </c>
      <c r="D148">
        <v>2.7881999999999998</v>
      </c>
    </row>
    <row r="149" spans="1:4" x14ac:dyDescent="0.25">
      <c r="A149">
        <v>0.284557</v>
      </c>
      <c r="B149">
        <f t="shared" si="2"/>
        <v>284.55700000000002</v>
      </c>
      <c r="C149">
        <v>2.7900100000000001</v>
      </c>
      <c r="D149">
        <v>2.7900100000000001</v>
      </c>
    </row>
    <row r="150" spans="1:4" x14ac:dyDescent="0.25">
      <c r="A150">
        <v>0.28652</v>
      </c>
      <c r="B150">
        <f t="shared" si="2"/>
        <v>286.52</v>
      </c>
      <c r="C150">
        <v>2.7881100000000001</v>
      </c>
      <c r="D150">
        <v>2.7881100000000001</v>
      </c>
    </row>
    <row r="151" spans="1:4" x14ac:dyDescent="0.25">
      <c r="A151">
        <v>0.28848200000000002</v>
      </c>
      <c r="B151">
        <f t="shared" si="2"/>
        <v>288.48200000000003</v>
      </c>
      <c r="C151">
        <v>2.7903600000000002</v>
      </c>
      <c r="D151">
        <v>2.7903600000000002</v>
      </c>
    </row>
    <row r="152" spans="1:4" x14ac:dyDescent="0.25">
      <c r="A152">
        <v>0.29044500000000001</v>
      </c>
      <c r="B152">
        <f t="shared" si="2"/>
        <v>290.44499999999999</v>
      </c>
      <c r="C152">
        <v>2.7897599999999998</v>
      </c>
      <c r="D152">
        <v>2.7897599999999998</v>
      </c>
    </row>
    <row r="153" spans="1:4" x14ac:dyDescent="0.25">
      <c r="A153">
        <v>0.29240699999999997</v>
      </c>
      <c r="B153">
        <f t="shared" si="2"/>
        <v>292.40699999999998</v>
      </c>
      <c r="C153">
        <v>2.7895699999999999</v>
      </c>
      <c r="D153">
        <v>2.7895699999999999</v>
      </c>
    </row>
    <row r="154" spans="1:4" x14ac:dyDescent="0.25">
      <c r="A154">
        <v>0.29437000000000002</v>
      </c>
      <c r="B154">
        <f t="shared" si="2"/>
        <v>294.37</v>
      </c>
      <c r="C154">
        <v>2.7857699999999999</v>
      </c>
      <c r="D154">
        <v>2.7857699999999999</v>
      </c>
    </row>
    <row r="155" spans="1:4" x14ac:dyDescent="0.25">
      <c r="A155">
        <v>0.29633199999999998</v>
      </c>
      <c r="B155">
        <f t="shared" si="2"/>
        <v>296.33199999999999</v>
      </c>
      <c r="C155">
        <v>2.7804500000000001</v>
      </c>
      <c r="D155">
        <v>2.7804500000000001</v>
      </c>
    </row>
    <row r="156" spans="1:4" x14ac:dyDescent="0.25">
      <c r="A156">
        <v>0.298294</v>
      </c>
      <c r="B156">
        <f t="shared" si="2"/>
        <v>298.29399999999998</v>
      </c>
      <c r="C156">
        <v>2.77549</v>
      </c>
      <c r="D156">
        <v>2.77549</v>
      </c>
    </row>
    <row r="157" spans="1:4" x14ac:dyDescent="0.25">
      <c r="A157">
        <v>0.300257</v>
      </c>
      <c r="B157">
        <f t="shared" si="2"/>
        <v>300.25700000000001</v>
      </c>
      <c r="C157">
        <v>2.7760400000000001</v>
      </c>
      <c r="D157">
        <v>2.7760400000000001</v>
      </c>
    </row>
    <row r="158" spans="1:4" x14ac:dyDescent="0.25">
      <c r="A158">
        <v>0.30221900000000002</v>
      </c>
      <c r="B158">
        <f t="shared" si="2"/>
        <v>302.21899999999999</v>
      </c>
      <c r="C158">
        <v>2.7742100000000001</v>
      </c>
      <c r="D158">
        <v>2.7742100000000001</v>
      </c>
    </row>
    <row r="159" spans="1:4" x14ac:dyDescent="0.25">
      <c r="A159">
        <v>0.30418200000000001</v>
      </c>
      <c r="B159">
        <f t="shared" si="2"/>
        <v>304.18200000000002</v>
      </c>
      <c r="C159">
        <v>2.7749899999999998</v>
      </c>
      <c r="D159">
        <v>2.7749899999999998</v>
      </c>
    </row>
    <row r="160" spans="1:4" x14ac:dyDescent="0.25">
      <c r="A160">
        <v>0.30614400000000003</v>
      </c>
      <c r="B160">
        <f t="shared" si="2"/>
        <v>306.14400000000001</v>
      </c>
      <c r="C160">
        <v>2.77264</v>
      </c>
      <c r="D160">
        <v>2.77264</v>
      </c>
    </row>
    <row r="161" spans="1:7" x14ac:dyDescent="0.25">
      <c r="A161">
        <v>0.30810700000000002</v>
      </c>
      <c r="B161">
        <f t="shared" si="2"/>
        <v>308.10700000000003</v>
      </c>
      <c r="C161">
        <v>2.98889</v>
      </c>
      <c r="D161">
        <v>2.98889</v>
      </c>
    </row>
    <row r="162" spans="1:7" x14ac:dyDescent="0.25">
      <c r="A162">
        <v>0.31006899999999998</v>
      </c>
      <c r="B162">
        <f t="shared" si="2"/>
        <v>310.06899999999996</v>
      </c>
      <c r="C162">
        <v>4.4713000000000003</v>
      </c>
      <c r="D162">
        <v>4.4713000000000003</v>
      </c>
    </row>
    <row r="163" spans="1:7" x14ac:dyDescent="0.25">
      <c r="A163">
        <v>0.31203199999999998</v>
      </c>
      <c r="B163">
        <f t="shared" si="2"/>
        <v>312.03199999999998</v>
      </c>
      <c r="C163">
        <v>4.75068</v>
      </c>
      <c r="D163">
        <v>4.75068</v>
      </c>
    </row>
    <row r="164" spans="1:7" x14ac:dyDescent="0.25">
      <c r="A164">
        <v>0.313994</v>
      </c>
      <c r="B164">
        <f t="shared" si="2"/>
        <v>313.99399999999997</v>
      </c>
      <c r="C164">
        <v>3.9243399999999999</v>
      </c>
      <c r="D164">
        <v>3.9243399999999999</v>
      </c>
    </row>
    <row r="165" spans="1:7" x14ac:dyDescent="0.25">
      <c r="A165">
        <v>0.31595699999999999</v>
      </c>
      <c r="B165">
        <f t="shared" si="2"/>
        <v>315.95699999999999</v>
      </c>
      <c r="C165">
        <v>2.2864599999999999</v>
      </c>
      <c r="D165">
        <v>2.2864599999999999</v>
      </c>
    </row>
    <row r="166" spans="1:7" x14ac:dyDescent="0.25">
      <c r="A166">
        <v>0.31791900000000001</v>
      </c>
      <c r="B166">
        <f t="shared" si="2"/>
        <v>317.91899999999998</v>
      </c>
      <c r="C166">
        <v>2.74255</v>
      </c>
      <c r="D166" s="5">
        <v>2.74255</v>
      </c>
      <c r="E166">
        <f t="shared" ref="E166:E185" si="3">(B166*$E$2-$F$3)*COS($F$4)+$F$3</f>
        <v>320.70524211599997</v>
      </c>
      <c r="F166">
        <f t="shared" ref="F166:F185" si="4">C166*$F$2</f>
        <v>2.7350354130000003</v>
      </c>
      <c r="G166">
        <f t="shared" ref="G166:G185" si="5">SUM($J$6*$J$1*COS(PI()+(PI()-$J$2)*(E166-$M$2)/($M$2-$M$1)),$M$3,$J$6*$J$1)</f>
        <v>1.9974661273947321</v>
      </c>
    </row>
    <row r="167" spans="1:7" x14ac:dyDescent="0.25">
      <c r="A167">
        <v>0.319882</v>
      </c>
      <c r="B167">
        <f t="shared" si="2"/>
        <v>319.88200000000001</v>
      </c>
      <c r="C167">
        <v>2.8992300000000002</v>
      </c>
      <c r="D167">
        <v>2.8992300000000002</v>
      </c>
      <c r="E167">
        <f t="shared" si="3"/>
        <v>322.68544584800003</v>
      </c>
      <c r="F167">
        <f t="shared" si="4"/>
        <v>2.8912861098000002</v>
      </c>
      <c r="G167">
        <f t="shared" si="5"/>
        <v>1.9914965400357385</v>
      </c>
    </row>
    <row r="168" spans="1:7" x14ac:dyDescent="0.25">
      <c r="A168">
        <v>0.32184400000000002</v>
      </c>
      <c r="B168">
        <f t="shared" si="2"/>
        <v>321.84399999999999</v>
      </c>
      <c r="C168">
        <v>2.8298399999999999</v>
      </c>
      <c r="D168">
        <v>2.8298399999999999</v>
      </c>
      <c r="E168">
        <f t="shared" si="3"/>
        <v>324.66464081599997</v>
      </c>
      <c r="F168">
        <f t="shared" si="4"/>
        <v>2.8220862383999998</v>
      </c>
      <c r="G168">
        <f t="shared" si="5"/>
        <v>1.984964890998381</v>
      </c>
    </row>
    <row r="169" spans="1:7" x14ac:dyDescent="0.25">
      <c r="A169">
        <v>0.32380599999999998</v>
      </c>
      <c r="B169">
        <f t="shared" si="2"/>
        <v>323.80599999999998</v>
      </c>
      <c r="C169">
        <v>2.8316699999999999</v>
      </c>
      <c r="D169">
        <v>2.8316699999999999</v>
      </c>
      <c r="E169">
        <f t="shared" si="3"/>
        <v>326.64383578399998</v>
      </c>
      <c r="F169">
        <f t="shared" si="4"/>
        <v>2.8239112242000002</v>
      </c>
      <c r="G169">
        <f t="shared" si="5"/>
        <v>1.977871675244762</v>
      </c>
    </row>
    <row r="170" spans="1:7" x14ac:dyDescent="0.25">
      <c r="A170">
        <v>0.32576899999999998</v>
      </c>
      <c r="B170">
        <f t="shared" si="2"/>
        <v>325.76899999999995</v>
      </c>
      <c r="C170">
        <v>2.8406199999999999</v>
      </c>
      <c r="D170">
        <v>2.8406199999999999</v>
      </c>
      <c r="E170">
        <f t="shared" si="3"/>
        <v>328.62403951599993</v>
      </c>
      <c r="F170">
        <f t="shared" si="4"/>
        <v>2.8328367012000002</v>
      </c>
      <c r="G170">
        <f t="shared" si="5"/>
        <v>1.970216534640308</v>
      </c>
    </row>
    <row r="171" spans="1:7" x14ac:dyDescent="0.25">
      <c r="A171">
        <v>0.32773099999999999</v>
      </c>
      <c r="B171">
        <f t="shared" si="2"/>
        <v>327.73099999999999</v>
      </c>
      <c r="C171">
        <v>2.8699499999999998</v>
      </c>
      <c r="D171">
        <v>2.8699499999999998</v>
      </c>
      <c r="E171">
        <f t="shared" si="3"/>
        <v>330.60323448399998</v>
      </c>
      <c r="F171">
        <f t="shared" si="4"/>
        <v>2.862086337</v>
      </c>
      <c r="G171">
        <f t="shared" si="5"/>
        <v>1.9620112431420376</v>
      </c>
    </row>
    <row r="172" spans="1:7" x14ac:dyDescent="0.25">
      <c r="A172">
        <v>0.32969399999999999</v>
      </c>
      <c r="B172">
        <f t="shared" si="2"/>
        <v>329.69399999999996</v>
      </c>
      <c r="C172">
        <v>2.8821500000000002</v>
      </c>
      <c r="D172">
        <v>2.8821500000000002</v>
      </c>
      <c r="E172">
        <f t="shared" si="3"/>
        <v>332.58343821599993</v>
      </c>
      <c r="F172">
        <f t="shared" si="4"/>
        <v>2.8742529090000004</v>
      </c>
      <c r="G172">
        <f t="shared" si="5"/>
        <v>1.9532517017701776</v>
      </c>
    </row>
    <row r="173" spans="1:7" x14ac:dyDescent="0.25">
      <c r="A173">
        <v>0.33165600000000001</v>
      </c>
      <c r="B173">
        <f t="shared" si="2"/>
        <v>331.65600000000001</v>
      </c>
      <c r="C173">
        <v>2.8795199999999999</v>
      </c>
      <c r="D173">
        <v>2.8795199999999999</v>
      </c>
      <c r="E173">
        <f t="shared" si="3"/>
        <v>334.56263318399999</v>
      </c>
      <c r="F173">
        <f t="shared" si="4"/>
        <v>2.8716301151999999</v>
      </c>
      <c r="G173">
        <f t="shared" si="5"/>
        <v>1.9439513831007322</v>
      </c>
    </row>
    <row r="174" spans="1:7" x14ac:dyDescent="0.25">
      <c r="A174">
        <v>0.333619</v>
      </c>
      <c r="B174">
        <f t="shared" si="2"/>
        <v>333.61899999999997</v>
      </c>
      <c r="C174">
        <v>2.8730500000000001</v>
      </c>
      <c r="D174">
        <v>2.8730500000000001</v>
      </c>
      <c r="E174">
        <f t="shared" si="3"/>
        <v>336.54283691599994</v>
      </c>
      <c r="F174">
        <f t="shared" si="4"/>
        <v>2.8651778430000001</v>
      </c>
      <c r="G174">
        <f t="shared" si="5"/>
        <v>1.9341056411295807</v>
      </c>
    </row>
    <row r="175" spans="1:7" x14ac:dyDescent="0.25">
      <c r="A175">
        <v>0.33558100000000002</v>
      </c>
      <c r="B175">
        <f t="shared" si="2"/>
        <v>335.58100000000002</v>
      </c>
      <c r="C175">
        <v>2.8627699999999998</v>
      </c>
      <c r="D175">
        <v>2.8627699999999998</v>
      </c>
      <c r="E175">
        <f t="shared" si="3"/>
        <v>338.522031884</v>
      </c>
      <c r="F175">
        <f t="shared" si="4"/>
        <v>2.8549260101999998</v>
      </c>
      <c r="G175">
        <f t="shared" si="5"/>
        <v>1.9237296190590198</v>
      </c>
    </row>
    <row r="176" spans="1:7" x14ac:dyDescent="0.25">
      <c r="A176">
        <v>0.33754400000000001</v>
      </c>
      <c r="B176">
        <f t="shared" si="2"/>
        <v>337.54399999999998</v>
      </c>
      <c r="C176">
        <v>2.8554200000000001</v>
      </c>
      <c r="D176">
        <v>2.8554200000000001</v>
      </c>
      <c r="E176">
        <f t="shared" si="3"/>
        <v>340.50223561600001</v>
      </c>
      <c r="F176">
        <f t="shared" si="4"/>
        <v>2.8475961492000001</v>
      </c>
      <c r="G176">
        <f t="shared" si="5"/>
        <v>1.9128181335138335</v>
      </c>
    </row>
    <row r="177" spans="1:8" x14ac:dyDescent="0.25">
      <c r="A177">
        <v>0.33950599999999997</v>
      </c>
      <c r="B177">
        <f t="shared" si="2"/>
        <v>339.50599999999997</v>
      </c>
      <c r="C177">
        <v>2.8247499999999999</v>
      </c>
      <c r="D177">
        <v>2.8247499999999999</v>
      </c>
      <c r="E177">
        <f t="shared" si="3"/>
        <v>342.48143058399995</v>
      </c>
      <c r="F177">
        <f t="shared" si="4"/>
        <v>2.817010185</v>
      </c>
      <c r="G177">
        <f t="shared" si="5"/>
        <v>1.9013879668587692</v>
      </c>
    </row>
    <row r="178" spans="1:8" x14ac:dyDescent="0.25">
      <c r="A178">
        <v>0.34146900000000002</v>
      </c>
      <c r="B178">
        <f t="shared" si="2"/>
        <v>341.46900000000005</v>
      </c>
      <c r="C178">
        <v>2.7762799999999999</v>
      </c>
      <c r="D178">
        <v>2.7762799999999999</v>
      </c>
      <c r="E178">
        <f t="shared" si="3"/>
        <v>344.46163431600007</v>
      </c>
      <c r="F178">
        <f t="shared" si="4"/>
        <v>2.7686729928</v>
      </c>
      <c r="G178">
        <f t="shared" si="5"/>
        <v>1.88943340911729</v>
      </c>
    </row>
    <row r="179" spans="1:8" x14ac:dyDescent="0.25">
      <c r="A179">
        <v>0.34343099999999999</v>
      </c>
      <c r="B179">
        <f t="shared" si="2"/>
        <v>343.43099999999998</v>
      </c>
      <c r="C179">
        <v>2.7483399999999998</v>
      </c>
      <c r="D179">
        <v>2.7483399999999998</v>
      </c>
      <c r="E179">
        <f t="shared" si="3"/>
        <v>346.44082928399996</v>
      </c>
      <c r="F179">
        <f t="shared" si="4"/>
        <v>2.7408095483999997</v>
      </c>
      <c r="G179">
        <f t="shared" si="5"/>
        <v>1.8769728469469791</v>
      </c>
      <c r="H179" s="4"/>
    </row>
    <row r="180" spans="1:8" x14ac:dyDescent="0.25">
      <c r="A180">
        <v>0.34539399999999998</v>
      </c>
      <c r="B180">
        <f t="shared" si="2"/>
        <v>345.39400000000001</v>
      </c>
      <c r="C180">
        <v>2.7571500000000002</v>
      </c>
      <c r="D180">
        <v>2.7571500000000002</v>
      </c>
      <c r="E180">
        <f t="shared" si="3"/>
        <v>348.42103301600002</v>
      </c>
      <c r="F180">
        <f t="shared" si="4"/>
        <v>2.7495954090000003</v>
      </c>
      <c r="G180">
        <f t="shared" si="5"/>
        <v>1.8640000556339014</v>
      </c>
      <c r="H180" s="4"/>
    </row>
    <row r="181" spans="1:8" x14ac:dyDescent="0.25">
      <c r="A181">
        <v>0.347356</v>
      </c>
      <c r="B181">
        <f t="shared" si="2"/>
        <v>347.35599999999999</v>
      </c>
      <c r="C181">
        <v>2.7408700000000001</v>
      </c>
      <c r="D181">
        <v>2.7408700000000001</v>
      </c>
      <c r="E181">
        <f t="shared" si="3"/>
        <v>350.40022798399997</v>
      </c>
      <c r="F181">
        <f t="shared" si="4"/>
        <v>2.7333600162000002</v>
      </c>
      <c r="G181">
        <f t="shared" si="5"/>
        <v>1.8505349879255311</v>
      </c>
      <c r="H181" s="4"/>
    </row>
    <row r="182" spans="1:8" x14ac:dyDescent="0.25">
      <c r="A182">
        <v>0.34931800000000002</v>
      </c>
      <c r="B182">
        <f t="shared" si="2"/>
        <v>349.31800000000004</v>
      </c>
      <c r="C182">
        <v>2.758</v>
      </c>
      <c r="D182">
        <v>2.758</v>
      </c>
      <c r="E182">
        <f t="shared" si="3"/>
        <v>352.37942295200003</v>
      </c>
      <c r="F182">
        <f t="shared" si="4"/>
        <v>2.7504430800000002</v>
      </c>
      <c r="G182">
        <f t="shared" si="5"/>
        <v>1.8365781550431985</v>
      </c>
      <c r="H182" s="4"/>
    </row>
    <row r="183" spans="1:8" x14ac:dyDescent="0.25">
      <c r="A183">
        <v>0.35128100000000001</v>
      </c>
      <c r="B183">
        <f t="shared" si="2"/>
        <v>351.28100000000001</v>
      </c>
      <c r="C183">
        <v>2.78965</v>
      </c>
      <c r="D183">
        <v>2.78965</v>
      </c>
      <c r="E183">
        <f t="shared" si="3"/>
        <v>354.35962668399998</v>
      </c>
      <c r="F183">
        <f t="shared" si="4"/>
        <v>2.7820063589999999</v>
      </c>
      <c r="G183">
        <f t="shared" si="5"/>
        <v>1.8221293211496568</v>
      </c>
      <c r="H183" s="4"/>
    </row>
    <row r="184" spans="1:8" x14ac:dyDescent="0.25">
      <c r="A184">
        <v>0.35324299999999997</v>
      </c>
      <c r="B184">
        <f t="shared" si="2"/>
        <v>353.24299999999999</v>
      </c>
      <c r="C184">
        <v>2.8442400000000001</v>
      </c>
      <c r="D184">
        <v>2.8442400000000001</v>
      </c>
      <c r="E184">
        <f t="shared" si="3"/>
        <v>356.33882165199998</v>
      </c>
      <c r="F184">
        <f t="shared" si="4"/>
        <v>2.8364467824000004</v>
      </c>
      <c r="G184">
        <f t="shared" si="5"/>
        <v>1.8072107092134986</v>
      </c>
      <c r="H184" s="4"/>
    </row>
    <row r="185" spans="1:8" x14ac:dyDescent="0.25">
      <c r="A185">
        <v>0.35520600000000002</v>
      </c>
      <c r="B185">
        <f t="shared" si="2"/>
        <v>355.20600000000002</v>
      </c>
      <c r="C185">
        <v>3.0267200000000001</v>
      </c>
      <c r="D185">
        <v>3.0267200000000001</v>
      </c>
      <c r="E185">
        <f t="shared" si="3"/>
        <v>358.31902538400004</v>
      </c>
      <c r="F185">
        <f t="shared" si="4"/>
        <v>3.0184267872000001</v>
      </c>
      <c r="G185">
        <f t="shared" si="5"/>
        <v>1.7918148665941205</v>
      </c>
      <c r="H185" s="4"/>
    </row>
    <row r="186" spans="1:8" x14ac:dyDescent="0.25">
      <c r="A186">
        <v>0.35716799999999999</v>
      </c>
      <c r="B186" s="6">
        <f t="shared" si="2"/>
        <v>357.16800000000001</v>
      </c>
      <c r="C186" s="6">
        <v>2.1306099999999999</v>
      </c>
      <c r="D186" s="6">
        <v>2.1306099999999999</v>
      </c>
      <c r="E186" s="6">
        <f t="shared" ref="E186:E195" si="6">(B186*$E$2-$F$3)*COS($F$4)+$F$3</f>
        <v>360.29822035199999</v>
      </c>
      <c r="F186" s="6">
        <f t="shared" ref="F186:F195" si="7">C186*$F$2</f>
        <v>2.1247721286000001</v>
      </c>
      <c r="G186" s="6">
        <f t="shared" ref="G186:G209" si="8">SUM($J$6*$J$1*COS(PI()+(PI()-$J$2)*(E186-$M$2)/($M$2-$M$1)),$M$3,$J$6*$J$1)</f>
        <v>1.7759654728029322</v>
      </c>
      <c r="H186" s="4"/>
    </row>
    <row r="187" spans="1:8" x14ac:dyDescent="0.25">
      <c r="A187">
        <v>0.35913099999999998</v>
      </c>
      <c r="B187">
        <f t="shared" si="2"/>
        <v>359.13099999999997</v>
      </c>
      <c r="C187">
        <v>1.84988</v>
      </c>
      <c r="D187">
        <v>1.84988</v>
      </c>
      <c r="E187">
        <f t="shared" si="6"/>
        <v>362.27842408399999</v>
      </c>
      <c r="F187">
        <f t="shared" si="7"/>
        <v>1.8448113288000001</v>
      </c>
      <c r="G187">
        <f t="shared" si="8"/>
        <v>1.7596546102242576</v>
      </c>
      <c r="H187" s="4"/>
    </row>
    <row r="188" spans="1:8" x14ac:dyDescent="0.25">
      <c r="A188">
        <v>0.361093</v>
      </c>
      <c r="B188">
        <f t="shared" si="2"/>
        <v>361.09300000000002</v>
      </c>
      <c r="C188">
        <v>1.7367300000000001</v>
      </c>
      <c r="D188">
        <v>1.7367300000000001</v>
      </c>
      <c r="E188">
        <f t="shared" si="6"/>
        <v>364.257619052</v>
      </c>
      <c r="F188">
        <f t="shared" si="7"/>
        <v>1.7319713598000002</v>
      </c>
      <c r="G188">
        <f t="shared" si="8"/>
        <v>1.7429073657121312</v>
      </c>
      <c r="H188" s="4"/>
    </row>
    <row r="189" spans="1:8" x14ac:dyDescent="0.25">
      <c r="A189">
        <v>0.36305599999999999</v>
      </c>
      <c r="B189">
        <f t="shared" si="2"/>
        <v>363.05599999999998</v>
      </c>
      <c r="C189">
        <v>1.6611800000000001</v>
      </c>
      <c r="D189">
        <v>1.6611800000000001</v>
      </c>
      <c r="E189">
        <f t="shared" si="6"/>
        <v>366.237822784</v>
      </c>
      <c r="F189">
        <f t="shared" si="7"/>
        <v>1.6566283668000001</v>
      </c>
      <c r="G189">
        <f t="shared" si="8"/>
        <v>1.7257153731266603</v>
      </c>
      <c r="H189" s="4"/>
    </row>
    <row r="190" spans="1:8" x14ac:dyDescent="0.25">
      <c r="A190">
        <v>0.36501800000000001</v>
      </c>
      <c r="B190" s="5">
        <f t="shared" si="2"/>
        <v>365.01800000000003</v>
      </c>
      <c r="C190" s="5">
        <v>1.7128000000000001</v>
      </c>
      <c r="D190">
        <v>1.7128000000000001</v>
      </c>
      <c r="E190">
        <f t="shared" si="6"/>
        <v>368.217017752</v>
      </c>
      <c r="F190">
        <f t="shared" si="7"/>
        <v>1.7081069280000001</v>
      </c>
      <c r="G190">
        <f t="shared" si="8"/>
        <v>1.7081050745402035</v>
      </c>
      <c r="H190" s="4"/>
    </row>
    <row r="191" spans="1:8" x14ac:dyDescent="0.25">
      <c r="A191">
        <v>0.366981</v>
      </c>
      <c r="B191">
        <f t="shared" si="2"/>
        <v>366.98099999999999</v>
      </c>
      <c r="C191">
        <v>1.80901</v>
      </c>
      <c r="D191">
        <v>1.80901</v>
      </c>
      <c r="E191">
        <f t="shared" si="6"/>
        <v>370.19722148400001</v>
      </c>
      <c r="F191">
        <f t="shared" si="7"/>
        <v>1.8040533126</v>
      </c>
      <c r="G191">
        <f t="shared" si="8"/>
        <v>1.6900676726714299</v>
      </c>
      <c r="H191" s="4"/>
    </row>
    <row r="192" spans="1:8" x14ac:dyDescent="0.25">
      <c r="A192">
        <v>0.36894300000000002</v>
      </c>
      <c r="B192">
        <f t="shared" si="2"/>
        <v>368.94300000000004</v>
      </c>
      <c r="C192">
        <v>1.8526</v>
      </c>
      <c r="D192">
        <v>1.8526</v>
      </c>
      <c r="E192">
        <f t="shared" si="6"/>
        <v>372.17641645200001</v>
      </c>
      <c r="F192">
        <f t="shared" si="7"/>
        <v>1.8475238760000001</v>
      </c>
      <c r="G192">
        <f t="shared" si="8"/>
        <v>1.6716309098709119</v>
      </c>
      <c r="H192" s="4"/>
    </row>
    <row r="193" spans="1:8" x14ac:dyDescent="0.25">
      <c r="A193">
        <v>0.37090600000000001</v>
      </c>
      <c r="B193" s="4">
        <f t="shared" si="2"/>
        <v>370.90600000000001</v>
      </c>
      <c r="C193" s="4">
        <v>1.85683</v>
      </c>
      <c r="D193">
        <v>1.85683</v>
      </c>
      <c r="E193">
        <f t="shared" si="6"/>
        <v>374.15662018400002</v>
      </c>
      <c r="F193">
        <f t="shared" si="7"/>
        <v>1.8517422858000001</v>
      </c>
      <c r="G193">
        <f t="shared" si="8"/>
        <v>1.6527855759944605</v>
      </c>
      <c r="H193" s="4"/>
    </row>
    <row r="194" spans="1:8" x14ac:dyDescent="0.25">
      <c r="A194">
        <v>0.37286799999999998</v>
      </c>
      <c r="B194">
        <f t="shared" si="2"/>
        <v>372.86799999999999</v>
      </c>
      <c r="C194">
        <v>1.7778</v>
      </c>
      <c r="D194">
        <v>1.7778</v>
      </c>
      <c r="E194">
        <f t="shared" si="6"/>
        <v>376.13581515200002</v>
      </c>
      <c r="F194">
        <f t="shared" si="7"/>
        <v>1.7729288280000002</v>
      </c>
      <c r="G194">
        <f t="shared" si="8"/>
        <v>1.6335606560290985</v>
      </c>
      <c r="H194" s="4"/>
    </row>
    <row r="195" spans="1:8" x14ac:dyDescent="0.25">
      <c r="A195">
        <v>0.37483100000000003</v>
      </c>
      <c r="B195">
        <f t="shared" si="2"/>
        <v>374.83100000000002</v>
      </c>
      <c r="C195">
        <v>1.6389</v>
      </c>
      <c r="D195">
        <v>1.6389</v>
      </c>
      <c r="E195">
        <f t="shared" si="6"/>
        <v>378.11601888400003</v>
      </c>
      <c r="F195">
        <f t="shared" si="7"/>
        <v>1.6344094140000001</v>
      </c>
      <c r="G195">
        <f t="shared" si="8"/>
        <v>1.6139465461041871</v>
      </c>
      <c r="H195" s="4"/>
    </row>
    <row r="196" spans="1:8" x14ac:dyDescent="0.25">
      <c r="A196">
        <v>0.37679299999999999</v>
      </c>
      <c r="B196">
        <f t="shared" si="2"/>
        <v>376.79300000000001</v>
      </c>
      <c r="C196">
        <v>1.48437</v>
      </c>
      <c r="D196">
        <v>1.48437</v>
      </c>
      <c r="E196">
        <f t="shared" ref="E196:E259" si="9">(B196*$E$2-$F$3)*COS($F$4)+$F$3</f>
        <v>380.09521385200003</v>
      </c>
      <c r="F196">
        <f t="shared" ref="F196:F259" si="10">C196*$F$2</f>
        <v>1.4803028262</v>
      </c>
      <c r="G196">
        <f t="shared" si="8"/>
        <v>1.5939734136195383</v>
      </c>
      <c r="H196" s="4"/>
    </row>
    <row r="197" spans="1:8" x14ac:dyDescent="0.25">
      <c r="A197">
        <v>0.37875500000000001</v>
      </c>
      <c r="B197">
        <f t="shared" ref="B197:B260" si="11">A197*1000</f>
        <v>378.755</v>
      </c>
      <c r="C197">
        <v>1.5128600000000001</v>
      </c>
      <c r="D197">
        <v>1.5128600000000001</v>
      </c>
      <c r="E197">
        <f t="shared" si="9"/>
        <v>382.07440881999997</v>
      </c>
      <c r="F197">
        <f t="shared" si="10"/>
        <v>1.5087147636000002</v>
      </c>
      <c r="G197">
        <f t="shared" si="8"/>
        <v>1.5736417332970445</v>
      </c>
      <c r="H197" s="4"/>
    </row>
    <row r="198" spans="1:8" x14ac:dyDescent="0.25">
      <c r="A198">
        <v>0.380718</v>
      </c>
      <c r="B198">
        <f t="shared" si="11"/>
        <v>380.71800000000002</v>
      </c>
      <c r="C198">
        <v>1.6553</v>
      </c>
      <c r="D198">
        <v>1.6553</v>
      </c>
      <c r="E198">
        <f t="shared" si="9"/>
        <v>384.05461255200004</v>
      </c>
      <c r="F198">
        <f t="shared" si="10"/>
        <v>1.6507644780000001</v>
      </c>
      <c r="G198">
        <f t="shared" si="8"/>
        <v>1.5529514351753757</v>
      </c>
      <c r="H198" s="4"/>
    </row>
    <row r="199" spans="1:8" x14ac:dyDescent="0.25">
      <c r="A199">
        <v>0.38268000000000002</v>
      </c>
      <c r="B199">
        <f t="shared" si="11"/>
        <v>382.68</v>
      </c>
      <c r="C199">
        <v>1.71865</v>
      </c>
      <c r="D199">
        <v>1.71865</v>
      </c>
      <c r="E199">
        <f t="shared" si="9"/>
        <v>386.03380751999998</v>
      </c>
      <c r="F199">
        <f t="shared" si="10"/>
        <v>1.713940899</v>
      </c>
      <c r="G199">
        <f t="shared" si="8"/>
        <v>1.531934341881104</v>
      </c>
      <c r="H199" s="4"/>
    </row>
    <row r="200" spans="1:8" x14ac:dyDescent="0.25">
      <c r="A200">
        <v>0.38464300000000001</v>
      </c>
      <c r="B200">
        <f t="shared" si="11"/>
        <v>384.64300000000003</v>
      </c>
      <c r="C200">
        <v>1.7194400000000001</v>
      </c>
      <c r="D200">
        <v>1.7194400000000001</v>
      </c>
      <c r="E200">
        <f t="shared" si="9"/>
        <v>388.01401125200005</v>
      </c>
      <c r="F200">
        <f t="shared" si="10"/>
        <v>1.7147287344000002</v>
      </c>
      <c r="G200">
        <f t="shared" si="8"/>
        <v>1.5105799542576352</v>
      </c>
      <c r="H200" s="4"/>
    </row>
    <row r="201" spans="1:8" x14ac:dyDescent="0.25">
      <c r="A201">
        <v>0.38660499999999998</v>
      </c>
      <c r="B201">
        <f t="shared" si="11"/>
        <v>386.60499999999996</v>
      </c>
      <c r="C201">
        <v>1.6231899999999999</v>
      </c>
      <c r="D201">
        <v>1.6231899999999999</v>
      </c>
      <c r="E201">
        <f t="shared" si="9"/>
        <v>389.99320621999993</v>
      </c>
      <c r="F201">
        <f t="shared" si="10"/>
        <v>1.6187424593999999</v>
      </c>
      <c r="G201">
        <f t="shared" si="8"/>
        <v>1.4889211163316258</v>
      </c>
      <c r="H201" s="4"/>
    </row>
    <row r="202" spans="1:8" x14ac:dyDescent="0.25">
      <c r="A202">
        <v>0.38856800000000002</v>
      </c>
      <c r="B202">
        <f t="shared" si="11"/>
        <v>388.56800000000004</v>
      </c>
      <c r="C202">
        <v>1.4205000000000001</v>
      </c>
      <c r="D202">
        <v>1.4205000000000001</v>
      </c>
      <c r="E202">
        <f t="shared" si="9"/>
        <v>391.97340995200005</v>
      </c>
      <c r="F202">
        <f t="shared" si="10"/>
        <v>1.4166078300000002</v>
      </c>
      <c r="G202">
        <f t="shared" si="8"/>
        <v>1.4669470083608842</v>
      </c>
      <c r="H202" s="4"/>
    </row>
    <row r="203" spans="1:8" x14ac:dyDescent="0.25">
      <c r="A203">
        <v>0.39052999999999999</v>
      </c>
      <c r="B203">
        <f t="shared" si="11"/>
        <v>390.53</v>
      </c>
      <c r="C203">
        <v>1.3357699999999999</v>
      </c>
      <c r="D203">
        <v>1.3357699999999999</v>
      </c>
      <c r="E203">
        <f t="shared" si="9"/>
        <v>393.95260491999994</v>
      </c>
      <c r="F203">
        <f t="shared" si="10"/>
        <v>1.3321099902</v>
      </c>
      <c r="G203">
        <f t="shared" si="8"/>
        <v>1.4446914275303588</v>
      </c>
      <c r="H203" s="4"/>
    </row>
    <row r="204" spans="1:8" x14ac:dyDescent="0.25">
      <c r="A204">
        <v>0.39249299999999998</v>
      </c>
      <c r="B204">
        <f t="shared" si="11"/>
        <v>392.49299999999999</v>
      </c>
      <c r="C204">
        <v>1.43377</v>
      </c>
      <c r="D204">
        <v>1.43377</v>
      </c>
      <c r="E204">
        <f t="shared" si="9"/>
        <v>395.93280865200001</v>
      </c>
      <c r="F204">
        <f t="shared" si="10"/>
        <v>1.4298414702</v>
      </c>
      <c r="G204">
        <f t="shared" si="8"/>
        <v>1.4221432559930198</v>
      </c>
      <c r="H204" s="4"/>
    </row>
    <row r="205" spans="1:8" x14ac:dyDescent="0.25">
      <c r="A205">
        <v>0.394455</v>
      </c>
      <c r="B205">
        <f t="shared" si="11"/>
        <v>394.45499999999998</v>
      </c>
      <c r="C205">
        <v>1.5406899999999999</v>
      </c>
      <c r="D205">
        <v>1.5406899999999999</v>
      </c>
      <c r="E205">
        <f t="shared" si="9"/>
        <v>397.91200362000001</v>
      </c>
      <c r="F205">
        <f t="shared" si="10"/>
        <v>1.5364685093999999</v>
      </c>
      <c r="G205">
        <f t="shared" si="8"/>
        <v>1.399337173869883</v>
      </c>
      <c r="H205" s="4"/>
    </row>
    <row r="206" spans="1:8" x14ac:dyDescent="0.25">
      <c r="A206">
        <v>0.39641799999999999</v>
      </c>
      <c r="B206">
        <f t="shared" si="11"/>
        <v>396.41800000000001</v>
      </c>
      <c r="C206">
        <v>1.5632900000000001</v>
      </c>
      <c r="D206">
        <v>1.5632900000000001</v>
      </c>
      <c r="E206">
        <f t="shared" si="9"/>
        <v>399.89220735200001</v>
      </c>
      <c r="F206">
        <f t="shared" si="10"/>
        <v>1.5590065854000001</v>
      </c>
      <c r="G206">
        <f t="shared" si="8"/>
        <v>1.3762617883092296</v>
      </c>
      <c r="H206" s="4"/>
    </row>
    <row r="207" spans="1:8" x14ac:dyDescent="0.25">
      <c r="A207">
        <v>0.39838000000000001</v>
      </c>
      <c r="B207">
        <f t="shared" si="11"/>
        <v>398.38</v>
      </c>
      <c r="C207">
        <v>1.4752000000000001</v>
      </c>
      <c r="D207">
        <v>1.4752000000000001</v>
      </c>
      <c r="E207">
        <f t="shared" si="9"/>
        <v>401.87140232000002</v>
      </c>
      <c r="F207">
        <f t="shared" si="10"/>
        <v>1.4711579520000002</v>
      </c>
      <c r="G207">
        <f t="shared" si="8"/>
        <v>1.3529525903113995</v>
      </c>
      <c r="H207" s="4"/>
    </row>
    <row r="208" spans="1:8" x14ac:dyDescent="0.25">
      <c r="A208">
        <v>0.400343</v>
      </c>
      <c r="B208">
        <f t="shared" si="11"/>
        <v>400.34300000000002</v>
      </c>
      <c r="C208">
        <v>1.31894</v>
      </c>
      <c r="D208">
        <v>1.31894</v>
      </c>
      <c r="E208">
        <f t="shared" si="9"/>
        <v>403.85160605200002</v>
      </c>
      <c r="F208">
        <f t="shared" si="10"/>
        <v>1.3153261044</v>
      </c>
      <c r="G208">
        <f t="shared" si="8"/>
        <v>1.3293979356915195</v>
      </c>
      <c r="H208" s="4"/>
    </row>
    <row r="209" spans="1:8" x14ac:dyDescent="0.25">
      <c r="A209">
        <v>0.40230500000000002</v>
      </c>
      <c r="B209">
        <f t="shared" si="11"/>
        <v>402.30500000000001</v>
      </c>
      <c r="C209">
        <v>1.1720600000000001</v>
      </c>
      <c r="D209">
        <v>1.1720600000000001</v>
      </c>
      <c r="E209">
        <f t="shared" si="9"/>
        <v>405.83080102000002</v>
      </c>
      <c r="F209">
        <f t="shared" si="10"/>
        <v>1.1688485556000001</v>
      </c>
      <c r="G209">
        <f t="shared" si="8"/>
        <v>1.3056340525877033</v>
      </c>
      <c r="H209" s="4"/>
    </row>
    <row r="210" spans="1:8" x14ac:dyDescent="0.25">
      <c r="A210">
        <v>0.40426699999999999</v>
      </c>
      <c r="B210">
        <f t="shared" si="11"/>
        <v>404.267</v>
      </c>
      <c r="C210">
        <v>1.25986</v>
      </c>
      <c r="D210">
        <v>1.25986</v>
      </c>
      <c r="E210">
        <f t="shared" si="9"/>
        <v>407.80999598799997</v>
      </c>
      <c r="F210">
        <f t="shared" si="10"/>
        <v>1.2564079835999999</v>
      </c>
      <c r="G210">
        <f t="shared" ref="G210:G273" si="12">SUM($J$6*$J$1*COS(PI()+(PI()-$J$2)*(E210-$M$2)/($M$2-$M$1)),$M$3,$J$6*$J$1)</f>
        <v>1.2816613393178258</v>
      </c>
      <c r="H210" s="4"/>
    </row>
    <row r="211" spans="1:8" x14ac:dyDescent="0.25">
      <c r="A211">
        <v>0.40622999999999998</v>
      </c>
      <c r="B211">
        <f t="shared" si="11"/>
        <v>406.22999999999996</v>
      </c>
      <c r="C211">
        <v>1.3482799999999999</v>
      </c>
      <c r="D211">
        <v>1.3482799999999999</v>
      </c>
      <c r="E211">
        <f t="shared" si="9"/>
        <v>409.79019971999998</v>
      </c>
      <c r="F211">
        <f t="shared" si="10"/>
        <v>1.3445857128000001</v>
      </c>
      <c r="G211">
        <f t="shared" si="12"/>
        <v>1.2574798769581657</v>
      </c>
      <c r="H211" s="4"/>
    </row>
    <row r="212" spans="1:8" x14ac:dyDescent="0.25">
      <c r="A212">
        <v>0.408192</v>
      </c>
      <c r="B212">
        <f t="shared" si="11"/>
        <v>408.19200000000001</v>
      </c>
      <c r="C212">
        <v>1.3702799999999999</v>
      </c>
      <c r="D212">
        <v>1.3702799999999999</v>
      </c>
      <c r="E212">
        <f t="shared" si="9"/>
        <v>411.76939468799998</v>
      </c>
      <c r="F212">
        <f t="shared" si="10"/>
        <v>1.3665254328000001</v>
      </c>
      <c r="G212">
        <f t="shared" si="12"/>
        <v>1.2331268577058614</v>
      </c>
      <c r="H212" s="4"/>
    </row>
    <row r="213" spans="1:8" x14ac:dyDescent="0.25">
      <c r="A213">
        <v>0.41015499999999999</v>
      </c>
      <c r="B213">
        <f t="shared" si="11"/>
        <v>410.15499999999997</v>
      </c>
      <c r="C213">
        <v>1.29155</v>
      </c>
      <c r="D213">
        <v>1.29155</v>
      </c>
      <c r="E213">
        <f t="shared" si="9"/>
        <v>413.74959841999998</v>
      </c>
      <c r="F213">
        <f t="shared" si="10"/>
        <v>1.288011153</v>
      </c>
      <c r="G213">
        <f t="shared" si="12"/>
        <v>1.2085901159317738</v>
      </c>
      <c r="H213" s="4"/>
    </row>
    <row r="214" spans="1:8" x14ac:dyDescent="0.25">
      <c r="A214">
        <v>0.41211700000000001</v>
      </c>
      <c r="B214">
        <f t="shared" si="11"/>
        <v>412.11700000000002</v>
      </c>
      <c r="C214">
        <v>1.12199</v>
      </c>
      <c r="D214">
        <v>1.12199</v>
      </c>
      <c r="E214">
        <f t="shared" si="9"/>
        <v>415.72879338800004</v>
      </c>
      <c r="F214">
        <f t="shared" si="10"/>
        <v>1.1189157474</v>
      </c>
      <c r="G214">
        <f t="shared" si="12"/>
        <v>1.1839073902690593</v>
      </c>
      <c r="H214" s="4"/>
    </row>
    <row r="215" spans="1:8" x14ac:dyDescent="0.25">
      <c r="A215">
        <v>0.41408</v>
      </c>
      <c r="B215">
        <f t="shared" si="11"/>
        <v>414.08</v>
      </c>
      <c r="C215">
        <v>1.00892</v>
      </c>
      <c r="D215">
        <v>1.00892</v>
      </c>
      <c r="E215">
        <f t="shared" si="9"/>
        <v>417.70899711999999</v>
      </c>
      <c r="F215">
        <f t="shared" si="10"/>
        <v>1.0061555592</v>
      </c>
      <c r="G215">
        <f t="shared" si="12"/>
        <v>1.1590663503826821</v>
      </c>
      <c r="H215" s="4"/>
    </row>
    <row r="216" spans="1:8" x14ac:dyDescent="0.25">
      <c r="A216">
        <v>0.41604200000000002</v>
      </c>
      <c r="B216">
        <f t="shared" si="11"/>
        <v>416.04200000000003</v>
      </c>
      <c r="C216">
        <v>1.11249</v>
      </c>
      <c r="D216">
        <v>1.11249</v>
      </c>
      <c r="E216">
        <f t="shared" si="9"/>
        <v>419.68819208800005</v>
      </c>
      <c r="F216">
        <f t="shared" si="10"/>
        <v>1.1094417774000001</v>
      </c>
      <c r="G216">
        <f t="shared" si="12"/>
        <v>1.1341052029302365</v>
      </c>
      <c r="H216" s="4"/>
    </row>
    <row r="217" spans="1:8" x14ac:dyDescent="0.25">
      <c r="A217">
        <v>0.41800500000000002</v>
      </c>
      <c r="B217">
        <f t="shared" si="11"/>
        <v>418.005</v>
      </c>
      <c r="C217">
        <v>1.2320899999999999</v>
      </c>
      <c r="D217">
        <v>1.2320899999999999</v>
      </c>
      <c r="E217">
        <f t="shared" si="9"/>
        <v>421.66839582</v>
      </c>
      <c r="F217">
        <f t="shared" si="10"/>
        <v>1.2287140733999999</v>
      </c>
      <c r="G217">
        <f t="shared" si="12"/>
        <v>1.1090114784901866</v>
      </c>
      <c r="H217" s="4"/>
    </row>
    <row r="218" spans="1:8" x14ac:dyDescent="0.25">
      <c r="A218">
        <v>0.41996699999999998</v>
      </c>
      <c r="B218">
        <f t="shared" si="11"/>
        <v>419.96699999999998</v>
      </c>
      <c r="C218">
        <v>1.2320199999999999</v>
      </c>
      <c r="D218">
        <v>1.2320199999999999</v>
      </c>
      <c r="E218">
        <f t="shared" si="9"/>
        <v>423.647590788</v>
      </c>
      <c r="F218">
        <f t="shared" si="10"/>
        <v>1.2286442652</v>
      </c>
      <c r="G218">
        <f t="shared" si="12"/>
        <v>1.0838237723605491</v>
      </c>
      <c r="H218" s="4"/>
    </row>
    <row r="219" spans="1:8" x14ac:dyDescent="0.25">
      <c r="A219">
        <v>0.42193000000000003</v>
      </c>
      <c r="B219">
        <f t="shared" si="11"/>
        <v>421.93</v>
      </c>
      <c r="C219">
        <v>1.1264099999999999</v>
      </c>
      <c r="D219">
        <v>1.1264099999999999</v>
      </c>
      <c r="E219">
        <f t="shared" si="9"/>
        <v>425.62779452000001</v>
      </c>
      <c r="F219">
        <f t="shared" si="10"/>
        <v>1.1233236365999999</v>
      </c>
      <c r="G219">
        <f t="shared" si="12"/>
        <v>1.0585295019416698</v>
      </c>
      <c r="H219" s="4"/>
    </row>
    <row r="220" spans="1:8" x14ac:dyDescent="0.25">
      <c r="A220">
        <v>0.42389199999999999</v>
      </c>
      <c r="B220">
        <f t="shared" si="11"/>
        <v>423.892</v>
      </c>
      <c r="C220">
        <v>0.96177500000000005</v>
      </c>
      <c r="D220">
        <v>0.96177500000000005</v>
      </c>
      <c r="E220">
        <f t="shared" si="9"/>
        <v>427.60698948800001</v>
      </c>
      <c r="F220">
        <f t="shared" si="10"/>
        <v>0.95913973650000006</v>
      </c>
      <c r="G220">
        <f t="shared" si="12"/>
        <v>1.0331675709804722</v>
      </c>
      <c r="H220" s="4"/>
    </row>
    <row r="221" spans="1:8" x14ac:dyDescent="0.25">
      <c r="A221">
        <v>0.42585499999999998</v>
      </c>
      <c r="B221">
        <f t="shared" si="11"/>
        <v>425.85499999999996</v>
      </c>
      <c r="C221">
        <v>0.90393999999999997</v>
      </c>
      <c r="D221">
        <v>0.90393999999999997</v>
      </c>
      <c r="E221">
        <f t="shared" si="9"/>
        <v>429.58719321999996</v>
      </c>
      <c r="F221">
        <f t="shared" si="10"/>
        <v>0.90146320440000005</v>
      </c>
      <c r="G221">
        <f t="shared" si="12"/>
        <v>1.0077253098427266</v>
      </c>
      <c r="H221" s="4"/>
    </row>
    <row r="222" spans="1:8" x14ac:dyDescent="0.25">
      <c r="A222">
        <v>0.427817</v>
      </c>
      <c r="B222" s="4">
        <f t="shared" si="11"/>
        <v>427.81700000000001</v>
      </c>
      <c r="C222" s="4">
        <v>0.99173299999999998</v>
      </c>
      <c r="D222">
        <v>0.99173299999999998</v>
      </c>
      <c r="E222">
        <f t="shared" si="9"/>
        <v>431.56638818800002</v>
      </c>
      <c r="F222">
        <f t="shared" si="10"/>
        <v>0.98901565158000004</v>
      </c>
      <c r="G222">
        <f t="shared" si="12"/>
        <v>0.98224184989186147</v>
      </c>
      <c r="H222" s="4"/>
    </row>
    <row r="223" spans="1:8" x14ac:dyDescent="0.25">
      <c r="A223">
        <v>0.42977900000000002</v>
      </c>
      <c r="B223">
        <f t="shared" si="11"/>
        <v>429.779</v>
      </c>
      <c r="C223">
        <v>1.09358</v>
      </c>
      <c r="D223">
        <v>1.09358</v>
      </c>
      <c r="E223">
        <f t="shared" si="9"/>
        <v>433.54558315600002</v>
      </c>
      <c r="F223">
        <f t="shared" si="10"/>
        <v>1.0905835908000001</v>
      </c>
      <c r="G223">
        <f t="shared" si="12"/>
        <v>0.95671747832579512</v>
      </c>
      <c r="H223" s="4"/>
    </row>
    <row r="224" spans="1:8" x14ac:dyDescent="0.25">
      <c r="A224">
        <v>0.43174200000000001</v>
      </c>
      <c r="B224">
        <f t="shared" si="11"/>
        <v>431.74200000000002</v>
      </c>
      <c r="C224">
        <v>1.0490699999999999</v>
      </c>
      <c r="D224">
        <v>1.0490699999999999</v>
      </c>
      <c r="E224">
        <f t="shared" si="9"/>
        <v>435.52578688800003</v>
      </c>
      <c r="F224">
        <f t="shared" si="10"/>
        <v>1.0461955482</v>
      </c>
      <c r="G224">
        <f t="shared" si="12"/>
        <v>0.93115242019210154</v>
      </c>
      <c r="H224" s="4"/>
    </row>
    <row r="225" spans="1:8" x14ac:dyDescent="0.25">
      <c r="A225">
        <v>0.43370399999999998</v>
      </c>
      <c r="B225" s="5">
        <f t="shared" si="11"/>
        <v>433.70399999999995</v>
      </c>
      <c r="C225" s="5">
        <v>0.90807700000000002</v>
      </c>
      <c r="D225">
        <v>0.90807700000000002</v>
      </c>
      <c r="E225">
        <f t="shared" si="9"/>
        <v>437.50498185599997</v>
      </c>
      <c r="F225">
        <f t="shared" si="10"/>
        <v>0.90558886902000002</v>
      </c>
      <c r="G225">
        <f t="shared" si="12"/>
        <v>0.90558599572161891</v>
      </c>
      <c r="H225" s="4"/>
    </row>
    <row r="226" spans="1:8" x14ac:dyDescent="0.25">
      <c r="A226">
        <v>0.43566700000000003</v>
      </c>
      <c r="B226">
        <f t="shared" si="11"/>
        <v>435.66700000000003</v>
      </c>
      <c r="C226">
        <v>0.80757400000000001</v>
      </c>
      <c r="D226">
        <v>0.80757400000000001</v>
      </c>
      <c r="E226">
        <f t="shared" si="9"/>
        <v>439.48518558800004</v>
      </c>
      <c r="F226">
        <f t="shared" si="10"/>
        <v>0.80536124724000002</v>
      </c>
      <c r="G226">
        <f t="shared" si="12"/>
        <v>0.88000543312472379</v>
      </c>
      <c r="H226" s="4"/>
    </row>
    <row r="227" spans="1:8" x14ac:dyDescent="0.25">
      <c r="A227">
        <v>0.43762899999999999</v>
      </c>
      <c r="B227">
        <f t="shared" si="11"/>
        <v>437.62899999999996</v>
      </c>
      <c r="C227">
        <v>0.78606699999999996</v>
      </c>
      <c r="D227">
        <v>0.78606699999999996</v>
      </c>
      <c r="E227">
        <f t="shared" si="9"/>
        <v>441.46438055599998</v>
      </c>
      <c r="F227">
        <f t="shared" si="10"/>
        <v>0.78391317642000002</v>
      </c>
      <c r="G227">
        <f t="shared" si="12"/>
        <v>0.85445007647883064</v>
      </c>
      <c r="H227" s="4"/>
    </row>
    <row r="228" spans="1:8" x14ac:dyDescent="0.25">
      <c r="A228">
        <v>0.43959199999999998</v>
      </c>
      <c r="B228">
        <f t="shared" si="11"/>
        <v>439.59199999999998</v>
      </c>
      <c r="C228">
        <v>0.84072499999999994</v>
      </c>
      <c r="D228">
        <v>0.84072499999999994</v>
      </c>
      <c r="E228">
        <f t="shared" si="9"/>
        <v>443.44458428799999</v>
      </c>
      <c r="F228">
        <f t="shared" si="10"/>
        <v>0.83842141349999999</v>
      </c>
      <c r="G228">
        <f t="shared" si="12"/>
        <v>0.82890715952328398</v>
      </c>
      <c r="H228" s="4"/>
    </row>
    <row r="229" spans="1:8" x14ac:dyDescent="0.25">
      <c r="A229">
        <v>0.441554</v>
      </c>
      <c r="B229">
        <f t="shared" si="11"/>
        <v>441.55399999999997</v>
      </c>
      <c r="C229">
        <v>0.88920900000000003</v>
      </c>
      <c r="D229">
        <v>0.88920900000000003</v>
      </c>
      <c r="E229">
        <f t="shared" si="9"/>
        <v>445.42377925599999</v>
      </c>
      <c r="F229">
        <f t="shared" si="10"/>
        <v>0.8867725673400001</v>
      </c>
      <c r="G229">
        <f t="shared" si="12"/>
        <v>0.80341596843477503</v>
      </c>
      <c r="H229" s="4"/>
    </row>
    <row r="230" spans="1:8" x14ac:dyDescent="0.25">
      <c r="A230">
        <v>0.44351699999999999</v>
      </c>
      <c r="B230">
        <f t="shared" si="11"/>
        <v>443.517</v>
      </c>
      <c r="C230">
        <v>0.87543199999999999</v>
      </c>
      <c r="D230">
        <v>0.87543199999999999</v>
      </c>
      <c r="E230">
        <f t="shared" si="9"/>
        <v>447.403982988</v>
      </c>
      <c r="F230">
        <f t="shared" si="10"/>
        <v>0.87303331632000003</v>
      </c>
      <c r="G230">
        <f t="shared" si="12"/>
        <v>0.77796376900676001</v>
      </c>
      <c r="H230" s="4"/>
    </row>
    <row r="231" spans="1:8" x14ac:dyDescent="0.25">
      <c r="A231">
        <v>0.44547900000000001</v>
      </c>
      <c r="B231">
        <f t="shared" si="11"/>
        <v>445.47900000000004</v>
      </c>
      <c r="C231">
        <v>0.75901600000000002</v>
      </c>
      <c r="D231">
        <v>0.75901600000000002</v>
      </c>
      <c r="E231">
        <f t="shared" si="9"/>
        <v>449.38317795600005</v>
      </c>
      <c r="F231">
        <f t="shared" si="10"/>
        <v>0.75693629616000002</v>
      </c>
      <c r="G231">
        <f t="shared" si="12"/>
        <v>0.752589707888216</v>
      </c>
      <c r="H231" s="4"/>
    </row>
    <row r="232" spans="1:8" x14ac:dyDescent="0.25">
      <c r="A232">
        <v>0.44744200000000001</v>
      </c>
      <c r="B232">
        <f t="shared" si="11"/>
        <v>447.44200000000001</v>
      </c>
      <c r="C232">
        <v>0.66981400000000002</v>
      </c>
      <c r="D232">
        <v>0.66981400000000002</v>
      </c>
      <c r="E232">
        <f t="shared" si="9"/>
        <v>451.363381688</v>
      </c>
      <c r="F232">
        <f t="shared" si="10"/>
        <v>0.66797870964000006</v>
      </c>
      <c r="G232">
        <f t="shared" si="12"/>
        <v>0.72728110938525425</v>
      </c>
      <c r="H232" s="4"/>
    </row>
    <row r="233" spans="1:8" x14ac:dyDescent="0.25">
      <c r="A233">
        <v>0.44940400000000003</v>
      </c>
      <c r="B233">
        <f t="shared" si="11"/>
        <v>449.40400000000005</v>
      </c>
      <c r="C233">
        <v>0.63831899999999997</v>
      </c>
      <c r="D233">
        <v>0.63831899999999997</v>
      </c>
      <c r="E233">
        <f t="shared" si="9"/>
        <v>453.34257665600006</v>
      </c>
      <c r="F233">
        <f t="shared" si="10"/>
        <v>0.63657000594000002</v>
      </c>
      <c r="G233">
        <f t="shared" si="12"/>
        <v>0.70207689928204631</v>
      </c>
      <c r="H233" s="4"/>
    </row>
    <row r="234" spans="1:8" x14ac:dyDescent="0.25">
      <c r="A234">
        <v>0.45136700000000002</v>
      </c>
      <c r="B234">
        <f t="shared" si="11"/>
        <v>451.36700000000002</v>
      </c>
      <c r="C234">
        <v>0.68067500000000003</v>
      </c>
      <c r="D234">
        <v>0.68067500000000003</v>
      </c>
      <c r="E234">
        <f t="shared" si="9"/>
        <v>455.32278038800001</v>
      </c>
      <c r="F234">
        <f t="shared" si="10"/>
        <v>0.67880995050000004</v>
      </c>
      <c r="G234">
        <f t="shared" si="12"/>
        <v>0.67696448673432608</v>
      </c>
      <c r="H234" s="4"/>
    </row>
    <row r="235" spans="1:8" x14ac:dyDescent="0.25">
      <c r="A235">
        <v>0.45332899999999998</v>
      </c>
      <c r="B235">
        <f t="shared" si="11"/>
        <v>453.32900000000001</v>
      </c>
      <c r="C235">
        <v>0.72050899999999996</v>
      </c>
      <c r="D235">
        <v>0.72050899999999996</v>
      </c>
      <c r="E235">
        <f t="shared" si="9"/>
        <v>457.30197535600001</v>
      </c>
      <c r="F235">
        <f t="shared" si="10"/>
        <v>0.71853480534000003</v>
      </c>
      <c r="G235">
        <f t="shared" si="12"/>
        <v>0.65198249578327694</v>
      </c>
      <c r="H235" s="4"/>
    </row>
    <row r="236" spans="1:8" x14ac:dyDescent="0.25">
      <c r="A236">
        <v>0.45529199999999997</v>
      </c>
      <c r="B236">
        <f t="shared" si="11"/>
        <v>455.29199999999997</v>
      </c>
      <c r="C236">
        <v>0.65460499999999999</v>
      </c>
      <c r="D236">
        <v>0.65460499999999999</v>
      </c>
      <c r="E236">
        <f t="shared" si="9"/>
        <v>459.28217908799996</v>
      </c>
      <c r="F236">
        <f t="shared" si="10"/>
        <v>0.65281138230000002</v>
      </c>
      <c r="G236">
        <f t="shared" si="12"/>
        <v>0.62711844659492422</v>
      </c>
      <c r="H236" s="4"/>
    </row>
    <row r="237" spans="1:8" x14ac:dyDescent="0.25">
      <c r="A237">
        <v>0.45725399999999999</v>
      </c>
      <c r="B237">
        <f t="shared" si="11"/>
        <v>457.25400000000002</v>
      </c>
      <c r="C237">
        <v>0.60409900000000005</v>
      </c>
      <c r="D237">
        <v>0.60409900000000005</v>
      </c>
      <c r="E237">
        <f t="shared" si="9"/>
        <v>461.26137405600002</v>
      </c>
      <c r="F237">
        <f t="shared" si="10"/>
        <v>0.60244376874000005</v>
      </c>
      <c r="G237">
        <f t="shared" si="12"/>
        <v>0.60241058121622371</v>
      </c>
      <c r="H237" s="4"/>
    </row>
    <row r="238" spans="1:8" x14ac:dyDescent="0.25">
      <c r="A238">
        <v>0.45921600000000001</v>
      </c>
      <c r="B238">
        <f t="shared" si="11"/>
        <v>459.21600000000001</v>
      </c>
      <c r="C238">
        <v>0.53688000000000002</v>
      </c>
      <c r="D238">
        <v>0.53688000000000002</v>
      </c>
      <c r="E238">
        <f t="shared" si="9"/>
        <v>463.24056902400002</v>
      </c>
      <c r="F238">
        <f t="shared" si="10"/>
        <v>0.53540894880000001</v>
      </c>
      <c r="G238">
        <f t="shared" si="12"/>
        <v>0.57785902826073632</v>
      </c>
      <c r="H238" s="4"/>
    </row>
    <row r="239" spans="1:8" x14ac:dyDescent="0.25">
      <c r="A239">
        <v>0.46117900000000001</v>
      </c>
      <c r="B239">
        <f t="shared" si="11"/>
        <v>461.17900000000003</v>
      </c>
      <c r="C239">
        <v>0.52303200000000005</v>
      </c>
      <c r="D239">
        <v>0.52303200000000005</v>
      </c>
      <c r="E239">
        <f t="shared" si="9"/>
        <v>465.22077275600003</v>
      </c>
      <c r="F239">
        <f t="shared" si="10"/>
        <v>0.52159889232000012</v>
      </c>
      <c r="G239">
        <f t="shared" si="12"/>
        <v>0.55346415380197689</v>
      </c>
      <c r="H239" s="4"/>
    </row>
    <row r="240" spans="1:8" x14ac:dyDescent="0.25">
      <c r="A240">
        <v>0.46314100000000002</v>
      </c>
      <c r="B240">
        <f t="shared" si="11"/>
        <v>463.14100000000002</v>
      </c>
      <c r="C240">
        <v>0.497448</v>
      </c>
      <c r="D240">
        <v>0.497448</v>
      </c>
      <c r="E240">
        <f t="shared" si="9"/>
        <v>467.19996772400003</v>
      </c>
      <c r="F240">
        <f t="shared" si="10"/>
        <v>0.49608499248000004</v>
      </c>
      <c r="G240">
        <f t="shared" si="12"/>
        <v>0.52926347827467102</v>
      </c>
      <c r="H240" s="4"/>
    </row>
    <row r="241" spans="1:8" x14ac:dyDescent="0.25">
      <c r="A241">
        <v>0.46510400000000002</v>
      </c>
      <c r="B241">
        <f t="shared" si="11"/>
        <v>465.10400000000004</v>
      </c>
      <c r="C241">
        <v>0.52461599999999997</v>
      </c>
      <c r="D241">
        <v>0.52461599999999997</v>
      </c>
      <c r="E241">
        <f t="shared" si="9"/>
        <v>469.18017145600004</v>
      </c>
      <c r="F241">
        <f t="shared" si="10"/>
        <v>0.52317855215999998</v>
      </c>
      <c r="G241">
        <f t="shared" si="12"/>
        <v>0.505244912153477</v>
      </c>
      <c r="H241" s="4"/>
    </row>
    <row r="242" spans="1:8" x14ac:dyDescent="0.25">
      <c r="A242">
        <v>0.46706599999999998</v>
      </c>
      <c r="B242">
        <f t="shared" si="11"/>
        <v>467.06599999999997</v>
      </c>
      <c r="C242">
        <v>0.52071699999999999</v>
      </c>
      <c r="D242">
        <v>0.52071699999999999</v>
      </c>
      <c r="E242">
        <f t="shared" si="9"/>
        <v>471.15936642399998</v>
      </c>
      <c r="F242">
        <f t="shared" si="10"/>
        <v>0.51929023541999997</v>
      </c>
      <c r="G242">
        <f t="shared" si="12"/>
        <v>0.48144539709365564</v>
      </c>
      <c r="H242" s="4"/>
    </row>
    <row r="243" spans="1:8" x14ac:dyDescent="0.25">
      <c r="A243">
        <v>0.46902899999999997</v>
      </c>
      <c r="B243">
        <f t="shared" si="11"/>
        <v>469.029</v>
      </c>
      <c r="C243">
        <v>0.47692000000000001</v>
      </c>
      <c r="D243">
        <v>0.47692000000000001</v>
      </c>
      <c r="E243">
        <f t="shared" si="9"/>
        <v>473.13957015599999</v>
      </c>
      <c r="F243">
        <f t="shared" si="10"/>
        <v>0.47561323920000004</v>
      </c>
      <c r="G243">
        <f t="shared" si="12"/>
        <v>0.45785304397086612</v>
      </c>
      <c r="H243" s="4"/>
    </row>
    <row r="244" spans="1:8" x14ac:dyDescent="0.25">
      <c r="A244">
        <v>0.47099099999999999</v>
      </c>
      <c r="B244">
        <f t="shared" si="11"/>
        <v>470.99099999999999</v>
      </c>
      <c r="C244">
        <v>0.40551100000000001</v>
      </c>
      <c r="D244">
        <v>0.40551100000000001</v>
      </c>
      <c r="E244">
        <f t="shared" si="9"/>
        <v>475.11876512399999</v>
      </c>
      <c r="F244">
        <f t="shared" si="10"/>
        <v>0.40439989986000002</v>
      </c>
      <c r="G244">
        <f t="shared" si="12"/>
        <v>0.43450413890524708</v>
      </c>
      <c r="H244" s="4"/>
    </row>
    <row r="245" spans="1:8" x14ac:dyDescent="0.25">
      <c r="A245">
        <v>0.47295399999999999</v>
      </c>
      <c r="B245">
        <f t="shared" si="11"/>
        <v>472.95400000000001</v>
      </c>
      <c r="C245">
        <v>0.37663600000000003</v>
      </c>
      <c r="D245">
        <v>0.37663600000000003</v>
      </c>
      <c r="E245">
        <f t="shared" si="9"/>
        <v>477.098968856</v>
      </c>
      <c r="F245">
        <f t="shared" si="10"/>
        <v>0.37560401736000004</v>
      </c>
      <c r="G245">
        <f t="shared" si="12"/>
        <v>0.4113870178761333</v>
      </c>
      <c r="H245" s="4"/>
    </row>
    <row r="246" spans="1:8" x14ac:dyDescent="0.25">
      <c r="A246">
        <v>0.474916</v>
      </c>
      <c r="B246">
        <f t="shared" si="11"/>
        <v>474.916</v>
      </c>
      <c r="C246">
        <v>0.36575000000000002</v>
      </c>
      <c r="D246">
        <v>0.36575000000000002</v>
      </c>
      <c r="E246">
        <f t="shared" si="9"/>
        <v>479.078163824</v>
      </c>
      <c r="F246">
        <f t="shared" si="10"/>
        <v>0.36474784500000001</v>
      </c>
      <c r="G246">
        <f t="shared" si="12"/>
        <v>0.38853723607492596</v>
      </c>
      <c r="H246" s="4"/>
    </row>
    <row r="247" spans="1:8" x14ac:dyDescent="0.25">
      <c r="A247">
        <v>0.476879</v>
      </c>
      <c r="B247">
        <f t="shared" si="11"/>
        <v>476.87900000000002</v>
      </c>
      <c r="C247">
        <v>0.35586200000000001</v>
      </c>
      <c r="D247">
        <v>0.35586200000000001</v>
      </c>
      <c r="E247">
        <f t="shared" si="9"/>
        <v>481.05836755600001</v>
      </c>
      <c r="F247">
        <f t="shared" si="10"/>
        <v>0.35488693812000005</v>
      </c>
      <c r="G247">
        <f t="shared" si="12"/>
        <v>0.36594337881959271</v>
      </c>
      <c r="H247" s="4"/>
    </row>
    <row r="248" spans="1:8" x14ac:dyDescent="0.25">
      <c r="A248">
        <v>0.47884100000000002</v>
      </c>
      <c r="B248">
        <f t="shared" si="11"/>
        <v>478.84100000000001</v>
      </c>
      <c r="C248">
        <v>0.35146699999999997</v>
      </c>
      <c r="D248">
        <v>0.35146699999999997</v>
      </c>
      <c r="E248">
        <f t="shared" si="9"/>
        <v>483.03756252400001</v>
      </c>
      <c r="F248">
        <f t="shared" si="10"/>
        <v>0.35050398041999997</v>
      </c>
      <c r="G248">
        <f t="shared" si="12"/>
        <v>0.34364019649787503</v>
      </c>
      <c r="H248" s="4"/>
    </row>
    <row r="249" spans="1:8" x14ac:dyDescent="0.25">
      <c r="A249">
        <v>0.48080400000000001</v>
      </c>
      <c r="B249">
        <f t="shared" si="11"/>
        <v>480.80400000000003</v>
      </c>
      <c r="C249">
        <v>0.38172099999999998</v>
      </c>
      <c r="D249">
        <v>0.38172099999999998</v>
      </c>
      <c r="E249">
        <f t="shared" si="9"/>
        <v>485.01776625600002</v>
      </c>
      <c r="F249">
        <f t="shared" si="10"/>
        <v>0.38067508445999998</v>
      </c>
      <c r="G249">
        <f t="shared" si="12"/>
        <v>0.32161654748326773</v>
      </c>
      <c r="H249" s="4"/>
    </row>
    <row r="250" spans="1:8" x14ac:dyDescent="0.25">
      <c r="A250">
        <v>0.48276599999999997</v>
      </c>
      <c r="B250">
        <f t="shared" si="11"/>
        <v>482.76599999999996</v>
      </c>
      <c r="C250">
        <v>0.32952500000000001</v>
      </c>
      <c r="D250">
        <v>0.32952500000000001</v>
      </c>
      <c r="E250">
        <f t="shared" si="9"/>
        <v>486.99696122399996</v>
      </c>
      <c r="F250">
        <f t="shared" si="10"/>
        <v>0.32862210150000004</v>
      </c>
      <c r="G250">
        <f t="shared" si="12"/>
        <v>0.29990630515711247</v>
      </c>
      <c r="H250" s="4"/>
    </row>
    <row r="251" spans="1:8" x14ac:dyDescent="0.25">
      <c r="A251">
        <v>0.48472799999999999</v>
      </c>
      <c r="B251">
        <f t="shared" si="11"/>
        <v>484.72800000000001</v>
      </c>
      <c r="C251">
        <v>0.25509199999999999</v>
      </c>
      <c r="D251">
        <v>0.25509199999999999</v>
      </c>
      <c r="E251">
        <f t="shared" si="9"/>
        <v>488.97615619200002</v>
      </c>
      <c r="F251">
        <f t="shared" si="10"/>
        <v>0.25439304792</v>
      </c>
      <c r="G251">
        <f t="shared" si="12"/>
        <v>0.27850944793322907</v>
      </c>
      <c r="H251" s="4"/>
    </row>
    <row r="252" spans="1:8" x14ac:dyDescent="0.25">
      <c r="A252">
        <v>0.48669099999999998</v>
      </c>
      <c r="B252">
        <f t="shared" si="11"/>
        <v>486.69099999999997</v>
      </c>
      <c r="C252">
        <v>0.207701</v>
      </c>
      <c r="D252">
        <v>0.207701</v>
      </c>
      <c r="E252">
        <f t="shared" si="9"/>
        <v>490.95635992399997</v>
      </c>
      <c r="F252">
        <f t="shared" si="10"/>
        <v>0.20713189926</v>
      </c>
      <c r="G252">
        <f t="shared" si="12"/>
        <v>0.25742643030028911</v>
      </c>
      <c r="H252" s="4"/>
    </row>
    <row r="253" spans="1:8" x14ac:dyDescent="0.25">
      <c r="A253">
        <v>0.488653</v>
      </c>
      <c r="B253">
        <f t="shared" si="11"/>
        <v>488.65300000000002</v>
      </c>
      <c r="C253">
        <v>0.20116000000000001</v>
      </c>
      <c r="D253">
        <v>0.20116000000000001</v>
      </c>
      <c r="E253">
        <f t="shared" si="9"/>
        <v>492.93555489200003</v>
      </c>
      <c r="F253">
        <f t="shared" si="10"/>
        <v>0.20060882160000001</v>
      </c>
      <c r="G253">
        <f t="shared" si="12"/>
        <v>0.23668967890546422</v>
      </c>
      <c r="H253" s="4"/>
    </row>
    <row r="254" spans="1:8" x14ac:dyDescent="0.25">
      <c r="A254">
        <v>0.490616</v>
      </c>
      <c r="B254">
        <f t="shared" si="11"/>
        <v>490.61599999999999</v>
      </c>
      <c r="C254">
        <v>0.194185</v>
      </c>
      <c r="D254">
        <v>0.194185</v>
      </c>
      <c r="E254">
        <f t="shared" si="9"/>
        <v>494.91575862399998</v>
      </c>
      <c r="F254">
        <f t="shared" si="10"/>
        <v>0.19365293310000001</v>
      </c>
      <c r="G254">
        <f t="shared" si="12"/>
        <v>0.21628883463786353</v>
      </c>
      <c r="H254" s="4"/>
    </row>
    <row r="255" spans="1:8" x14ac:dyDescent="0.25">
      <c r="A255">
        <v>0.49257800000000002</v>
      </c>
      <c r="B255">
        <f t="shared" si="11"/>
        <v>492.57800000000003</v>
      </c>
      <c r="C255">
        <v>0.21260799999999999</v>
      </c>
      <c r="D255">
        <v>0.21260799999999999</v>
      </c>
      <c r="E255">
        <f t="shared" si="9"/>
        <v>496.89495359200004</v>
      </c>
      <c r="F255">
        <f t="shared" si="10"/>
        <v>0.21202545408000001</v>
      </c>
      <c r="G255">
        <f t="shared" si="12"/>
        <v>0.19625527493076356</v>
      </c>
      <c r="H255" s="4"/>
    </row>
    <row r="256" spans="1:8" x14ac:dyDescent="0.25">
      <c r="A256">
        <v>0.49454100000000001</v>
      </c>
      <c r="B256">
        <f t="shared" si="11"/>
        <v>494.541</v>
      </c>
      <c r="C256">
        <v>0.196821</v>
      </c>
      <c r="D256">
        <v>0.196821</v>
      </c>
      <c r="E256">
        <f t="shared" si="9"/>
        <v>498.87515732399999</v>
      </c>
      <c r="F256">
        <f t="shared" si="10"/>
        <v>0.19628171046000001</v>
      </c>
      <c r="G256">
        <f t="shared" si="12"/>
        <v>0.17657899195494386</v>
      </c>
      <c r="H256" s="4"/>
    </row>
    <row r="257" spans="1:8" x14ac:dyDescent="0.25">
      <c r="A257">
        <v>0.49650300000000003</v>
      </c>
      <c r="B257">
        <f t="shared" si="11"/>
        <v>496.50300000000004</v>
      </c>
      <c r="C257">
        <v>0.13244800000000001</v>
      </c>
      <c r="D257">
        <v>0.13244800000000001</v>
      </c>
      <c r="E257">
        <f t="shared" si="9"/>
        <v>500.85435229200004</v>
      </c>
      <c r="F257">
        <f t="shared" si="10"/>
        <v>0.13208509248000003</v>
      </c>
      <c r="G257">
        <f t="shared" si="12"/>
        <v>0.15729024873521391</v>
      </c>
      <c r="H257" s="4"/>
    </row>
    <row r="258" spans="1:8" x14ac:dyDescent="0.25">
      <c r="A258">
        <v>0.49846600000000002</v>
      </c>
      <c r="B258">
        <f t="shared" si="11"/>
        <v>498.46600000000001</v>
      </c>
      <c r="C258">
        <v>8.6688799999999996E-2</v>
      </c>
      <c r="D258">
        <v>8.6688799999999996E-2</v>
      </c>
      <c r="E258">
        <f t="shared" si="9"/>
        <v>502.83455602399999</v>
      </c>
      <c r="F258">
        <f t="shared" si="10"/>
        <v>8.6451272688E-2</v>
      </c>
      <c r="G258">
        <f t="shared" si="12"/>
        <v>0.13837940951782701</v>
      </c>
      <c r="H258" s="4"/>
    </row>
    <row r="259" spans="1:8" x14ac:dyDescent="0.25">
      <c r="A259">
        <v>0.50042799999999998</v>
      </c>
      <c r="B259">
        <f t="shared" si="11"/>
        <v>500.428</v>
      </c>
      <c r="C259">
        <v>7.2223200000000001E-2</v>
      </c>
      <c r="D259">
        <v>7.2223200000000001E-2</v>
      </c>
      <c r="E259">
        <f t="shared" si="9"/>
        <v>504.813750992</v>
      </c>
      <c r="F259">
        <f t="shared" si="10"/>
        <v>7.2025308432000001E-2</v>
      </c>
      <c r="G259">
        <f t="shared" si="12"/>
        <v>0.11987556004001942</v>
      </c>
      <c r="H259" s="4"/>
    </row>
    <row r="260" spans="1:8" x14ac:dyDescent="0.25">
      <c r="A260">
        <v>0.50239100000000003</v>
      </c>
      <c r="B260">
        <f t="shared" si="11"/>
        <v>502.39100000000002</v>
      </c>
      <c r="C260">
        <v>7.4793700000000005E-2</v>
      </c>
      <c r="D260">
        <v>7.4793700000000005E-2</v>
      </c>
      <c r="E260">
        <f t="shared" ref="E260:E323" si="13">(B260*$E$2-$F$3)*COS($F$4)+$F$3</f>
        <v>506.793954724</v>
      </c>
      <c r="F260">
        <f t="shared" ref="F260:F323" si="14">C260*$F$2</f>
        <v>7.4588765262000006E-2</v>
      </c>
      <c r="G260">
        <f t="shared" si="12"/>
        <v>0.10176945664423576</v>
      </c>
      <c r="H260" s="4"/>
    </row>
    <row r="261" spans="1:8" x14ac:dyDescent="0.25">
      <c r="A261">
        <v>0.50435300000000005</v>
      </c>
      <c r="B261">
        <f t="shared" ref="B261:B324" si="15">A261*1000</f>
        <v>504.35300000000007</v>
      </c>
      <c r="C261">
        <v>7.0369600000000004E-2</v>
      </c>
      <c r="D261">
        <v>7.0369600000000004E-2</v>
      </c>
      <c r="E261">
        <f t="shared" si="13"/>
        <v>508.77314969200006</v>
      </c>
      <c r="F261">
        <f t="shared" si="14"/>
        <v>7.0176787296000007E-2</v>
      </c>
      <c r="G261">
        <f t="shared" si="12"/>
        <v>8.408894734714667E-2</v>
      </c>
      <c r="H261" s="4"/>
    </row>
    <row r="262" spans="1:8" x14ac:dyDescent="0.25">
      <c r="A262">
        <v>0.50631599999999999</v>
      </c>
      <c r="B262">
        <f t="shared" si="15"/>
        <v>506.31599999999997</v>
      </c>
      <c r="C262">
        <v>4.6414200000000003E-2</v>
      </c>
      <c r="D262">
        <v>4.6414200000000003E-2</v>
      </c>
      <c r="E262">
        <f t="shared" si="13"/>
        <v>510.75335342399995</v>
      </c>
      <c r="F262">
        <f t="shared" si="14"/>
        <v>4.6287025092000007E-2</v>
      </c>
      <c r="G262">
        <f t="shared" si="12"/>
        <v>6.6825199793435486E-2</v>
      </c>
      <c r="H262" s="4"/>
    </row>
    <row r="263" spans="1:8" x14ac:dyDescent="0.25">
      <c r="A263">
        <v>0.50827800000000001</v>
      </c>
      <c r="B263">
        <f t="shared" si="15"/>
        <v>508.27800000000002</v>
      </c>
      <c r="C263">
        <v>1.9729400000000001E-2</v>
      </c>
      <c r="D263">
        <v>1.9729400000000001E-2</v>
      </c>
      <c r="E263">
        <f t="shared" si="13"/>
        <v>512.73254839200001</v>
      </c>
      <c r="F263">
        <f t="shared" si="14"/>
        <v>1.9675341444000002E-2</v>
      </c>
      <c r="G263">
        <f t="shared" si="12"/>
        <v>5.0004766417886648E-2</v>
      </c>
      <c r="H263" s="4"/>
    </row>
    <row r="264" spans="1:8" x14ac:dyDescent="0.25">
      <c r="A264">
        <v>0.51024000000000003</v>
      </c>
      <c r="B264">
        <f t="shared" si="15"/>
        <v>510.24</v>
      </c>
      <c r="C264">
        <v>2.2859000000000001E-2</v>
      </c>
      <c r="D264">
        <v>2.2859000000000001E-2</v>
      </c>
      <c r="E264">
        <f t="shared" si="13"/>
        <v>514.71174336000001</v>
      </c>
      <c r="F264">
        <f t="shared" si="14"/>
        <v>2.2796366340000002E-2</v>
      </c>
      <c r="G264">
        <f t="shared" si="12"/>
        <v>3.3627477315960608E-2</v>
      </c>
      <c r="H264" s="4"/>
    </row>
    <row r="265" spans="1:8" x14ac:dyDescent="0.25">
      <c r="A265">
        <v>0.51220299999999996</v>
      </c>
      <c r="B265">
        <f t="shared" si="15"/>
        <v>512.20299999999997</v>
      </c>
      <c r="C265">
        <v>3.1166800000000001E-2</v>
      </c>
      <c r="D265">
        <v>3.1166800000000001E-2</v>
      </c>
      <c r="E265">
        <f t="shared" si="13"/>
        <v>516.69194709199996</v>
      </c>
      <c r="F265">
        <f t="shared" si="14"/>
        <v>3.1081402968000004E-2</v>
      </c>
      <c r="G265">
        <f t="shared" si="12"/>
        <v>1.7693835779899469E-2</v>
      </c>
      <c r="H265" s="4"/>
    </row>
    <row r="266" spans="1:8" x14ac:dyDescent="0.25">
      <c r="A266">
        <v>0.51416499999999998</v>
      </c>
      <c r="B266">
        <f t="shared" si="15"/>
        <v>514.16499999999996</v>
      </c>
      <c r="C266">
        <v>-2.4703300000000002E-4</v>
      </c>
      <c r="D266">
        <v>-2.4703300000000002E-4</v>
      </c>
      <c r="E266">
        <f t="shared" si="13"/>
        <v>518.67114205999997</v>
      </c>
      <c r="F266">
        <f t="shared" si="14"/>
        <v>-2.4635612958000003E-4</v>
      </c>
      <c r="G266">
        <f t="shared" si="12"/>
        <v>2.228348480486364E-3</v>
      </c>
      <c r="H266" s="4"/>
    </row>
    <row r="267" spans="1:8" x14ac:dyDescent="0.25">
      <c r="A267">
        <v>0.51612800000000003</v>
      </c>
      <c r="B267">
        <f t="shared" si="15"/>
        <v>516.12800000000004</v>
      </c>
      <c r="C267">
        <v>-3.9131600000000002E-2</v>
      </c>
      <c r="D267">
        <v>-3.9131600000000002E-2</v>
      </c>
      <c r="E267">
        <f t="shared" si="13"/>
        <v>520.65134579200003</v>
      </c>
      <c r="F267">
        <f t="shared" si="14"/>
        <v>-3.9024379416000003E-2</v>
      </c>
      <c r="G267">
        <f t="shared" si="12"/>
        <v>-1.2776710416228854E-2</v>
      </c>
      <c r="H267" s="4"/>
    </row>
    <row r="268" spans="1:8" x14ac:dyDescent="0.25">
      <c r="A268">
        <v>0.51809000000000005</v>
      </c>
      <c r="B268">
        <f t="shared" si="15"/>
        <v>518.09</v>
      </c>
      <c r="C268">
        <v>-5.4651900000000003E-2</v>
      </c>
      <c r="D268">
        <v>-5.4651900000000003E-2</v>
      </c>
      <c r="E268">
        <f t="shared" si="13"/>
        <v>522.63054076000003</v>
      </c>
      <c r="F268">
        <f t="shared" si="14"/>
        <v>-5.4502153794000002E-2</v>
      </c>
      <c r="G268">
        <f t="shared" si="12"/>
        <v>-2.7298262442109644E-2</v>
      </c>
      <c r="H268" s="4"/>
    </row>
    <row r="269" spans="1:8" x14ac:dyDescent="0.25">
      <c r="A269">
        <v>0.52005299999999999</v>
      </c>
      <c r="B269">
        <f t="shared" si="15"/>
        <v>520.053</v>
      </c>
      <c r="C269">
        <v>-5.3402199999999997E-2</v>
      </c>
      <c r="D269">
        <v>-5.3402199999999997E-2</v>
      </c>
      <c r="E269">
        <f t="shared" si="13"/>
        <v>524.61074449199998</v>
      </c>
      <c r="F269">
        <f t="shared" si="14"/>
        <v>-5.3255877972000001E-2</v>
      </c>
      <c r="G269">
        <f t="shared" si="12"/>
        <v>-4.1343561885202718E-2</v>
      </c>
      <c r="H269" s="4"/>
    </row>
    <row r="270" spans="1:8" x14ac:dyDescent="0.25">
      <c r="A270">
        <v>0.52201500000000001</v>
      </c>
      <c r="B270">
        <f t="shared" si="15"/>
        <v>522.01499999999999</v>
      </c>
      <c r="C270">
        <v>-6.1449299999999998E-2</v>
      </c>
      <c r="D270">
        <v>-6.1449299999999998E-2</v>
      </c>
      <c r="E270">
        <f t="shared" si="13"/>
        <v>526.58993945999998</v>
      </c>
      <c r="F270">
        <f t="shared" si="14"/>
        <v>-6.1280928918000001E-2</v>
      </c>
      <c r="G270">
        <f t="shared" si="12"/>
        <v>-5.4891006431389888E-2</v>
      </c>
      <c r="H270" s="4"/>
    </row>
    <row r="271" spans="1:8" x14ac:dyDescent="0.25">
      <c r="A271">
        <v>0.52397800000000005</v>
      </c>
      <c r="B271">
        <f t="shared" si="15"/>
        <v>523.97800000000007</v>
      </c>
      <c r="C271">
        <v>-6.85394E-2</v>
      </c>
      <c r="D271">
        <v>-6.85394E-2</v>
      </c>
      <c r="E271">
        <f t="shared" si="13"/>
        <v>528.57014319200005</v>
      </c>
      <c r="F271">
        <f t="shared" si="14"/>
        <v>-6.8351602044000009E-2</v>
      </c>
      <c r="G271">
        <f t="shared" si="12"/>
        <v>-6.7947363750192613E-2</v>
      </c>
      <c r="H271" s="4"/>
    </row>
    <row r="272" spans="1:8" x14ac:dyDescent="0.25">
      <c r="A272">
        <v>0.52593999999999996</v>
      </c>
      <c r="B272">
        <f t="shared" si="15"/>
        <v>525.93999999999994</v>
      </c>
      <c r="C272">
        <v>-8.6554800000000001E-2</v>
      </c>
      <c r="D272">
        <v>-8.6554800000000001E-2</v>
      </c>
      <c r="E272">
        <f t="shared" si="13"/>
        <v>530.54933815999993</v>
      </c>
      <c r="F272">
        <f t="shared" si="14"/>
        <v>-8.6317639848000005E-2</v>
      </c>
      <c r="G272">
        <f t="shared" si="12"/>
        <v>-8.0492552565791131E-2</v>
      </c>
      <c r="H272" s="4"/>
    </row>
    <row r="273" spans="1:8" x14ac:dyDescent="0.25">
      <c r="A273">
        <v>0.52790300000000001</v>
      </c>
      <c r="B273">
        <f t="shared" si="15"/>
        <v>527.90300000000002</v>
      </c>
      <c r="C273">
        <v>-0.109546</v>
      </c>
      <c r="D273">
        <v>-0.109546</v>
      </c>
      <c r="E273">
        <f t="shared" si="13"/>
        <v>532.529541892</v>
      </c>
      <c r="F273">
        <f t="shared" si="14"/>
        <v>-0.10924584396000001</v>
      </c>
      <c r="G273">
        <f t="shared" si="12"/>
        <v>-9.2532839867633943E-2</v>
      </c>
      <c r="H273" s="4"/>
    </row>
    <row r="274" spans="1:8" x14ac:dyDescent="0.25">
      <c r="A274">
        <v>0.52986500000000003</v>
      </c>
      <c r="B274">
        <f t="shared" si="15"/>
        <v>529.86500000000001</v>
      </c>
      <c r="C274">
        <v>-0.12767400000000001</v>
      </c>
      <c r="D274">
        <v>-0.12767400000000001</v>
      </c>
      <c r="E274">
        <f t="shared" si="13"/>
        <v>534.50873686</v>
      </c>
      <c r="F274">
        <f t="shared" si="14"/>
        <v>-0.12732417324</v>
      </c>
      <c r="G274">
        <f t="shared" ref="G274:G294" si="16">SUM($J$6*$J$1*COS(PI()+(PI()-$J$2)*(E274-$M$2)/($M$2-$M$1)),$M$3,$J$6*$J$1)</f>
        <v>-0.10404970714214556</v>
      </c>
      <c r="H274" s="4"/>
    </row>
    <row r="275" spans="1:8" x14ac:dyDescent="0.25">
      <c r="A275">
        <v>0.53182799999999997</v>
      </c>
      <c r="B275">
        <f t="shared" si="15"/>
        <v>531.82799999999997</v>
      </c>
      <c r="C275">
        <v>-0.15301100000000001</v>
      </c>
      <c r="D275">
        <v>-0.15301100000000001</v>
      </c>
      <c r="E275">
        <f t="shared" si="13"/>
        <v>536.48894059199995</v>
      </c>
      <c r="F275">
        <f t="shared" si="14"/>
        <v>-0.15259174986000001</v>
      </c>
      <c r="G275">
        <f t="shared" si="16"/>
        <v>-0.11504890767743636</v>
      </c>
      <c r="H275" s="4"/>
    </row>
    <row r="276" spans="1:8" x14ac:dyDescent="0.25">
      <c r="A276">
        <v>0.53378999999999999</v>
      </c>
      <c r="B276">
        <f t="shared" si="15"/>
        <v>533.79</v>
      </c>
      <c r="C276">
        <v>-0.15395800000000001</v>
      </c>
      <c r="D276">
        <v>-0.15395800000000001</v>
      </c>
      <c r="E276">
        <f t="shared" si="13"/>
        <v>538.46813555999995</v>
      </c>
      <c r="F276">
        <f t="shared" si="14"/>
        <v>-0.15353615508000001</v>
      </c>
      <c r="G276">
        <f t="shared" si="16"/>
        <v>-0.12551352419908479</v>
      </c>
      <c r="H276" s="4"/>
    </row>
    <row r="277" spans="1:8" x14ac:dyDescent="0.25">
      <c r="A277">
        <v>0.53575300000000003</v>
      </c>
      <c r="B277">
        <f t="shared" si="15"/>
        <v>535.75300000000004</v>
      </c>
      <c r="C277">
        <v>-0.14809700000000001</v>
      </c>
      <c r="D277">
        <v>-0.14809700000000001</v>
      </c>
      <c r="E277">
        <f t="shared" si="13"/>
        <v>540.44833929200001</v>
      </c>
      <c r="F277">
        <f t="shared" si="14"/>
        <v>-0.14769121422000001</v>
      </c>
      <c r="G277">
        <f t="shared" si="16"/>
        <v>-0.13544878433995078</v>
      </c>
      <c r="H277" s="4"/>
    </row>
    <row r="278" spans="1:8" x14ac:dyDescent="0.25">
      <c r="A278">
        <v>0.53771500000000005</v>
      </c>
      <c r="B278">
        <f t="shared" si="15"/>
        <v>537.71500000000003</v>
      </c>
      <c r="C278">
        <v>-0.145206</v>
      </c>
      <c r="D278">
        <v>-0.145206</v>
      </c>
      <c r="E278">
        <f t="shared" si="13"/>
        <v>542.42753426000002</v>
      </c>
      <c r="F278">
        <f t="shared" si="14"/>
        <v>-0.14480813556</v>
      </c>
      <c r="G278">
        <f t="shared" si="16"/>
        <v>-0.14483940721468969</v>
      </c>
      <c r="H278" s="4"/>
    </row>
    <row r="279" spans="1:8" x14ac:dyDescent="0.25">
      <c r="A279">
        <v>0.53967699999999996</v>
      </c>
      <c r="B279">
        <f t="shared" si="15"/>
        <v>539.67699999999991</v>
      </c>
      <c r="C279">
        <v>-0.152585</v>
      </c>
      <c r="D279">
        <v>-0.152585</v>
      </c>
      <c r="E279">
        <f t="shared" si="13"/>
        <v>544.4067292279999</v>
      </c>
      <c r="F279">
        <f t="shared" si="14"/>
        <v>-0.15216691709999999</v>
      </c>
      <c r="G279">
        <f t="shared" si="16"/>
        <v>-0.15368571469600978</v>
      </c>
      <c r="H279" s="4"/>
    </row>
    <row r="280" spans="1:8" x14ac:dyDescent="0.25">
      <c r="A280">
        <v>0.54164000000000001</v>
      </c>
      <c r="B280">
        <f t="shared" si="15"/>
        <v>541.64</v>
      </c>
      <c r="C280">
        <v>-0.173093</v>
      </c>
      <c r="D280">
        <v>-0.173093</v>
      </c>
      <c r="E280">
        <f t="shared" si="13"/>
        <v>546.38693295999997</v>
      </c>
      <c r="F280">
        <f t="shared" si="14"/>
        <v>-0.17261872518000002</v>
      </c>
      <c r="G280">
        <f t="shared" si="16"/>
        <v>-0.1619872017670656</v>
      </c>
      <c r="H280" s="4"/>
    </row>
    <row r="281" spans="1:8" x14ac:dyDescent="0.25">
      <c r="A281">
        <v>0.54360200000000003</v>
      </c>
      <c r="B281">
        <f t="shared" si="15"/>
        <v>543.60199999999998</v>
      </c>
      <c r="C281">
        <v>-0.183811</v>
      </c>
      <c r="D281">
        <v>-0.183811</v>
      </c>
      <c r="E281">
        <f t="shared" si="13"/>
        <v>548.36612792799997</v>
      </c>
      <c r="F281">
        <f t="shared" si="14"/>
        <v>-0.18330735786000002</v>
      </c>
      <c r="G281">
        <f t="shared" si="16"/>
        <v>-0.16973110036035455</v>
      </c>
      <c r="H281" s="4"/>
    </row>
    <row r="282" spans="1:8" x14ac:dyDescent="0.25">
      <c r="A282">
        <v>0.54556499999999997</v>
      </c>
      <c r="B282">
        <f t="shared" si="15"/>
        <v>545.56499999999994</v>
      </c>
      <c r="C282">
        <v>-0.20130600000000001</v>
      </c>
      <c r="D282">
        <v>-0.20130600000000001</v>
      </c>
      <c r="E282">
        <f t="shared" si="13"/>
        <v>550.34633165999992</v>
      </c>
      <c r="F282">
        <f t="shared" si="14"/>
        <v>-0.20075442156000001</v>
      </c>
      <c r="G282">
        <f t="shared" si="16"/>
        <v>-0.17692127896534027</v>
      </c>
      <c r="H282" s="4"/>
    </row>
    <row r="283" spans="1:8" x14ac:dyDescent="0.25">
      <c r="A283">
        <v>0.54752699999999999</v>
      </c>
      <c r="B283">
        <f t="shared" si="15"/>
        <v>547.52699999999993</v>
      </c>
      <c r="C283">
        <v>-0.19894300000000001</v>
      </c>
      <c r="D283">
        <v>-0.19894300000000001</v>
      </c>
      <c r="E283">
        <f t="shared" si="13"/>
        <v>552.32552662799992</v>
      </c>
      <c r="F283">
        <f t="shared" si="14"/>
        <v>-0.19839789618000001</v>
      </c>
      <c r="G283">
        <f t="shared" si="16"/>
        <v>-0.18354667875786412</v>
      </c>
      <c r="H283" s="4"/>
    </row>
    <row r="284" spans="1:8" x14ac:dyDescent="0.25">
      <c r="A284">
        <v>0.54949000000000003</v>
      </c>
      <c r="B284">
        <f t="shared" si="15"/>
        <v>549.49</v>
      </c>
      <c r="C284">
        <v>-0.19217100000000001</v>
      </c>
      <c r="D284">
        <v>-0.19217100000000001</v>
      </c>
      <c r="E284">
        <f t="shared" si="13"/>
        <v>554.30573035999998</v>
      </c>
      <c r="F284">
        <f t="shared" si="14"/>
        <v>-0.19164445146</v>
      </c>
      <c r="G284">
        <f t="shared" si="16"/>
        <v>-0.18961060947771458</v>
      </c>
    </row>
    <row r="285" spans="1:8" x14ac:dyDescent="0.25">
      <c r="A285">
        <v>0.55145200000000005</v>
      </c>
      <c r="B285">
        <f t="shared" si="15"/>
        <v>551.452</v>
      </c>
      <c r="C285">
        <v>-0.17865300000000001</v>
      </c>
      <c r="D285">
        <v>-0.17865300000000001</v>
      </c>
      <c r="E285">
        <f t="shared" si="13"/>
        <v>556.28492532799999</v>
      </c>
      <c r="F285">
        <f t="shared" si="14"/>
        <v>-0.17816349078000002</v>
      </c>
      <c r="G285">
        <f t="shared" si="16"/>
        <v>-0.19510374452158552</v>
      </c>
    </row>
    <row r="286" spans="1:8" x14ac:dyDescent="0.25">
      <c r="A286">
        <v>0.55341499999999999</v>
      </c>
      <c r="B286">
        <f t="shared" si="15"/>
        <v>553.41499999999996</v>
      </c>
      <c r="C286">
        <v>-0.17616100000000001</v>
      </c>
      <c r="D286">
        <v>-0.17616100000000001</v>
      </c>
      <c r="E286">
        <f t="shared" si="13"/>
        <v>558.26512905999994</v>
      </c>
      <c r="F286">
        <f t="shared" si="14"/>
        <v>-0.17567831886000002</v>
      </c>
      <c r="G286">
        <f t="shared" si="16"/>
        <v>-0.20002882800276667</v>
      </c>
    </row>
    <row r="287" spans="1:8" x14ac:dyDescent="0.25">
      <c r="A287">
        <v>0.55537700000000001</v>
      </c>
      <c r="B287">
        <f t="shared" si="15"/>
        <v>555.37699999999995</v>
      </c>
      <c r="C287">
        <v>-0.16154399999999999</v>
      </c>
      <c r="D287">
        <v>-0.16154399999999999</v>
      </c>
      <c r="E287">
        <f t="shared" si="13"/>
        <v>560.24432402799994</v>
      </c>
      <c r="F287">
        <f t="shared" si="14"/>
        <v>-0.16110136944</v>
      </c>
      <c r="G287">
        <f t="shared" si="16"/>
        <v>-0.20437828491718935</v>
      </c>
    </row>
    <row r="288" spans="1:8" x14ac:dyDescent="0.25">
      <c r="A288">
        <v>0.55733999999999995</v>
      </c>
      <c r="B288">
        <f t="shared" si="15"/>
        <v>557.33999999999992</v>
      </c>
      <c r="C288">
        <v>-0.18024299999999999</v>
      </c>
      <c r="D288">
        <v>-0.18024299999999999</v>
      </c>
      <c r="E288">
        <f t="shared" si="13"/>
        <v>562.22452775999989</v>
      </c>
      <c r="F288">
        <f t="shared" si="14"/>
        <v>-0.17974913417999999</v>
      </c>
      <c r="G288">
        <f t="shared" si="16"/>
        <v>-0.20815428805005243</v>
      </c>
    </row>
    <row r="289" spans="1:8" x14ac:dyDescent="0.25">
      <c r="A289">
        <v>0.55930199999999997</v>
      </c>
      <c r="B289">
        <f t="shared" si="15"/>
        <v>559.30200000000002</v>
      </c>
      <c r="C289">
        <v>-0.18648899999999999</v>
      </c>
      <c r="D289">
        <v>-0.18648899999999999</v>
      </c>
      <c r="E289">
        <f t="shared" si="13"/>
        <v>564.203722728</v>
      </c>
      <c r="F289">
        <f t="shared" si="14"/>
        <v>-0.18597802014000001</v>
      </c>
      <c r="G289">
        <f t="shared" si="16"/>
        <v>-0.21135102973551612</v>
      </c>
    </row>
    <row r="290" spans="1:8" x14ac:dyDescent="0.25">
      <c r="A290">
        <v>0.56126500000000001</v>
      </c>
      <c r="B290">
        <f t="shared" si="15"/>
        <v>561.26499999999999</v>
      </c>
      <c r="C290">
        <v>-0.19395699999999999</v>
      </c>
      <c r="D290">
        <v>-0.19395699999999999</v>
      </c>
      <c r="E290">
        <f t="shared" si="13"/>
        <v>566.18392645999995</v>
      </c>
      <c r="F290">
        <f t="shared" si="14"/>
        <v>-0.19342555782000001</v>
      </c>
      <c r="G290">
        <f t="shared" si="16"/>
        <v>-0.21397010691617635</v>
      </c>
    </row>
    <row r="291" spans="1:8" x14ac:dyDescent="0.25">
      <c r="A291">
        <v>0.56322700000000003</v>
      </c>
      <c r="B291">
        <f t="shared" si="15"/>
        <v>563.22700000000009</v>
      </c>
      <c r="C291">
        <v>-0.19206999999999999</v>
      </c>
      <c r="D291">
        <v>-0.19206999999999999</v>
      </c>
      <c r="E291">
        <f t="shared" si="13"/>
        <v>568.16312142800007</v>
      </c>
      <c r="F291">
        <f t="shared" si="14"/>
        <v>-0.19154372819999999</v>
      </c>
      <c r="G291">
        <f t="shared" si="16"/>
        <v>-0.21600749133132013</v>
      </c>
    </row>
    <row r="292" spans="1:8" x14ac:dyDescent="0.25">
      <c r="A292">
        <v>0.56518900000000005</v>
      </c>
      <c r="B292">
        <f t="shared" si="15"/>
        <v>565.18900000000008</v>
      </c>
      <c r="C292">
        <v>-0.208872</v>
      </c>
      <c r="D292">
        <v>-0.208872</v>
      </c>
      <c r="E292">
        <f t="shared" si="13"/>
        <v>570.14231639600007</v>
      </c>
      <c r="F292">
        <f t="shared" si="14"/>
        <v>-0.20829969072000001</v>
      </c>
      <c r="G292">
        <f t="shared" si="16"/>
        <v>-0.21746360695264588</v>
      </c>
    </row>
    <row r="293" spans="1:8" x14ac:dyDescent="0.25">
      <c r="A293">
        <v>0.56715199999999999</v>
      </c>
      <c r="B293">
        <f t="shared" si="15"/>
        <v>567.15200000000004</v>
      </c>
      <c r="C293">
        <v>-0.20351900000000001</v>
      </c>
      <c r="D293">
        <v>-0.20351900000000001</v>
      </c>
      <c r="E293">
        <f t="shared" si="13"/>
        <v>572.12252012800002</v>
      </c>
      <c r="F293">
        <f t="shared" si="14"/>
        <v>-0.20296135794</v>
      </c>
      <c r="G293">
        <f t="shared" si="16"/>
        <v>-0.21833799472502569</v>
      </c>
    </row>
    <row r="294" spans="1:8" x14ac:dyDescent="0.25">
      <c r="A294" s="4">
        <v>0.56911400000000001</v>
      </c>
      <c r="B294" s="5">
        <f t="shared" si="15"/>
        <v>569.11400000000003</v>
      </c>
      <c r="C294" s="5">
        <v>-0.21923400000000001</v>
      </c>
      <c r="D294">
        <v>-0.21923400000000001</v>
      </c>
      <c r="E294">
        <f t="shared" si="13"/>
        <v>574.10171509600002</v>
      </c>
      <c r="F294">
        <f t="shared" si="14"/>
        <v>-0.21863329884000002</v>
      </c>
      <c r="G294">
        <f t="shared" si="16"/>
        <v>-0.21862930980000006</v>
      </c>
      <c r="H294" s="4">
        <f t="shared" ref="H294:H309" si="17">SUM($J$6*$J$4*COS($J$5+($J$5-PI())*(E294-$N$5)/($N$5-$N$4)),$N$6,$J$6*$J$4)</f>
        <v>-0.21862930980000006</v>
      </c>
    </row>
    <row r="295" spans="1:8" x14ac:dyDescent="0.25">
      <c r="A295">
        <v>0.57107699999999995</v>
      </c>
      <c r="B295">
        <f t="shared" si="15"/>
        <v>571.077</v>
      </c>
      <c r="C295">
        <v>-0.21564800000000001</v>
      </c>
      <c r="D295">
        <v>-0.21564800000000001</v>
      </c>
      <c r="E295">
        <f t="shared" si="13"/>
        <v>576.08191882799997</v>
      </c>
      <c r="F295">
        <f t="shared" si="14"/>
        <v>-0.21505712448</v>
      </c>
      <c r="H295" s="4">
        <f t="shared" si="17"/>
        <v>-0.21835116191720871</v>
      </c>
    </row>
    <row r="296" spans="1:8" x14ac:dyDescent="0.25">
      <c r="A296">
        <v>0.57303899999999997</v>
      </c>
      <c r="B296">
        <f t="shared" si="15"/>
        <v>573.03899999999999</v>
      </c>
      <c r="C296">
        <v>-0.208458</v>
      </c>
      <c r="D296">
        <v>-0.208458</v>
      </c>
      <c r="E296">
        <f t="shared" si="13"/>
        <v>578.06111379599997</v>
      </c>
      <c r="F296">
        <f t="shared" si="14"/>
        <v>-0.20788682508</v>
      </c>
      <c r="H296" s="4">
        <f t="shared" si="17"/>
        <v>-0.21751738997728998</v>
      </c>
    </row>
    <row r="297" spans="1:8" x14ac:dyDescent="0.25">
      <c r="A297">
        <v>0.57500200000000001</v>
      </c>
      <c r="B297">
        <f t="shared" si="15"/>
        <v>575.00200000000007</v>
      </c>
      <c r="C297">
        <v>-0.205431</v>
      </c>
      <c r="D297">
        <v>-0.205431</v>
      </c>
      <c r="E297">
        <f t="shared" si="13"/>
        <v>580.04131752800004</v>
      </c>
      <c r="F297">
        <f t="shared" si="14"/>
        <v>-0.20486811906000002</v>
      </c>
      <c r="H297" s="4">
        <f t="shared" si="17"/>
        <v>-0.21612745920569654</v>
      </c>
    </row>
    <row r="298" spans="1:8" x14ac:dyDescent="0.25">
      <c r="A298">
        <v>0.57696400000000003</v>
      </c>
      <c r="B298">
        <f t="shared" si="15"/>
        <v>576.96400000000006</v>
      </c>
      <c r="C298">
        <v>-0.20980199999999999</v>
      </c>
      <c r="D298">
        <v>-0.20980199999999999</v>
      </c>
      <c r="E298">
        <f t="shared" si="13"/>
        <v>582.02051249600004</v>
      </c>
      <c r="F298">
        <f t="shared" si="14"/>
        <v>-0.20922714251999999</v>
      </c>
      <c r="H298" s="4">
        <f t="shared" si="17"/>
        <v>-0.21418331046797778</v>
      </c>
    </row>
    <row r="299" spans="1:8" x14ac:dyDescent="0.25">
      <c r="A299">
        <v>0.57892699999999997</v>
      </c>
      <c r="B299">
        <f t="shared" si="15"/>
        <v>578.92700000000002</v>
      </c>
      <c r="C299">
        <v>-0.19958699999999999</v>
      </c>
      <c r="D299">
        <v>-0.19958699999999999</v>
      </c>
      <c r="E299">
        <f t="shared" si="13"/>
        <v>584.00071622799999</v>
      </c>
      <c r="F299">
        <f t="shared" si="14"/>
        <v>-0.19904013162</v>
      </c>
      <c r="H299" s="4">
        <f t="shared" si="17"/>
        <v>-0.21168369680293142</v>
      </c>
    </row>
    <row r="300" spans="1:8" x14ac:dyDescent="0.25">
      <c r="A300">
        <v>0.58088899999999999</v>
      </c>
      <c r="B300">
        <f t="shared" si="15"/>
        <v>580.88900000000001</v>
      </c>
      <c r="C300">
        <v>-0.18058099999999999</v>
      </c>
      <c r="D300">
        <v>-0.18058099999999999</v>
      </c>
      <c r="E300">
        <f t="shared" si="13"/>
        <v>585.97991119599999</v>
      </c>
      <c r="F300">
        <f t="shared" si="14"/>
        <v>-0.18008620806</v>
      </c>
      <c r="H300" s="4">
        <f t="shared" si="17"/>
        <v>-0.20863210861032977</v>
      </c>
    </row>
    <row r="301" spans="1:8" x14ac:dyDescent="0.25">
      <c r="A301">
        <v>0.58285200000000004</v>
      </c>
      <c r="B301">
        <f t="shared" si="15"/>
        <v>582.85200000000009</v>
      </c>
      <c r="C301">
        <v>-0.177486</v>
      </c>
      <c r="D301">
        <v>-0.177486</v>
      </c>
      <c r="E301">
        <f t="shared" si="13"/>
        <v>587.96011492800005</v>
      </c>
      <c r="F301">
        <f t="shared" si="14"/>
        <v>-0.17699968836000002</v>
      </c>
      <c r="H301" s="4">
        <f t="shared" si="17"/>
        <v>-0.20502658862630252</v>
      </c>
    </row>
    <row r="302" spans="1:8" x14ac:dyDescent="0.25">
      <c r="A302">
        <v>0.58481399999999994</v>
      </c>
      <c r="B302">
        <f t="shared" si="15"/>
        <v>584.81399999999996</v>
      </c>
      <c r="C302">
        <v>-0.18835299999999999</v>
      </c>
      <c r="D302">
        <v>-0.18835299999999999</v>
      </c>
      <c r="E302">
        <f t="shared" si="13"/>
        <v>589.93930989599994</v>
      </c>
      <c r="F302">
        <f t="shared" si="14"/>
        <v>-0.18783691278</v>
      </c>
      <c r="H302" s="4">
        <f t="shared" si="17"/>
        <v>-0.20087217151133041</v>
      </c>
    </row>
    <row r="303" spans="1:8" x14ac:dyDescent="0.25">
      <c r="A303">
        <v>0.58677699999999999</v>
      </c>
      <c r="B303">
        <f t="shared" si="15"/>
        <v>586.77700000000004</v>
      </c>
      <c r="C303">
        <v>-0.19486400000000001</v>
      </c>
      <c r="D303">
        <v>-0.19486400000000001</v>
      </c>
      <c r="E303">
        <f t="shared" si="13"/>
        <v>591.919513628</v>
      </c>
      <c r="F303">
        <f t="shared" si="14"/>
        <v>-0.19433007264000002</v>
      </c>
      <c r="H303" s="4">
        <f t="shared" si="17"/>
        <v>-0.19616619265603208</v>
      </c>
    </row>
    <row r="304" spans="1:8" x14ac:dyDescent="0.25">
      <c r="A304">
        <v>0.58873900000000001</v>
      </c>
      <c r="B304">
        <f t="shared" si="15"/>
        <v>588.73900000000003</v>
      </c>
      <c r="C304">
        <v>-0.18051600000000001</v>
      </c>
      <c r="D304">
        <v>-0.18051600000000001</v>
      </c>
      <c r="E304">
        <f t="shared" si="13"/>
        <v>593.89870859600001</v>
      </c>
      <c r="F304">
        <f t="shared" si="14"/>
        <v>-0.18002138616000002</v>
      </c>
      <c r="H304" s="4">
        <f t="shared" si="17"/>
        <v>-0.19091522337491096</v>
      </c>
    </row>
    <row r="305" spans="1:8" x14ac:dyDescent="0.25">
      <c r="A305">
        <v>0.59070100000000003</v>
      </c>
      <c r="B305">
        <f t="shared" si="15"/>
        <v>590.70100000000002</v>
      </c>
      <c r="C305">
        <v>-0.17847299999999999</v>
      </c>
      <c r="D305">
        <v>-0.17847299999999999</v>
      </c>
      <c r="E305">
        <f t="shared" si="13"/>
        <v>595.87790356400001</v>
      </c>
      <c r="F305">
        <f t="shared" si="14"/>
        <v>-0.17798398398000001</v>
      </c>
      <c r="H305" s="4">
        <f t="shared" si="17"/>
        <v>-0.18511898865101228</v>
      </c>
    </row>
    <row r="306" spans="1:8" x14ac:dyDescent="0.25">
      <c r="A306">
        <v>0.59266399999999997</v>
      </c>
      <c r="B306">
        <f t="shared" si="15"/>
        <v>592.66399999999999</v>
      </c>
      <c r="C306">
        <v>-0.188249</v>
      </c>
      <c r="D306">
        <v>-0.188249</v>
      </c>
      <c r="E306">
        <f t="shared" si="13"/>
        <v>597.85810729599996</v>
      </c>
      <c r="F306">
        <f t="shared" si="14"/>
        <v>-0.18773319774</v>
      </c>
      <c r="H306" s="4">
        <f t="shared" si="17"/>
        <v>-0.17877630778828091</v>
      </c>
    </row>
    <row r="307" spans="1:8" x14ac:dyDescent="0.25">
      <c r="A307">
        <v>0.59462599999999999</v>
      </c>
      <c r="B307">
        <f t="shared" si="15"/>
        <v>594.62599999999998</v>
      </c>
      <c r="C307">
        <v>-0.20336399999999999</v>
      </c>
      <c r="D307">
        <v>-0.20336399999999999</v>
      </c>
      <c r="E307">
        <f t="shared" si="13"/>
        <v>599.83730226399996</v>
      </c>
      <c r="F307">
        <f t="shared" si="14"/>
        <v>-0.20280678263999999</v>
      </c>
      <c r="H307" s="4">
        <f t="shared" si="17"/>
        <v>-0.17189603755212568</v>
      </c>
    </row>
    <row r="308" spans="1:8" x14ac:dyDescent="0.25">
      <c r="A308">
        <v>0.59658900000000004</v>
      </c>
      <c r="B308">
        <f t="shared" si="15"/>
        <v>596.58900000000006</v>
      </c>
      <c r="C308">
        <v>-0.181142</v>
      </c>
      <c r="D308">
        <v>-0.181142</v>
      </c>
      <c r="E308">
        <f t="shared" si="13"/>
        <v>601.81750599600002</v>
      </c>
      <c r="F308">
        <f t="shared" si="14"/>
        <v>-0.18064567092</v>
      </c>
      <c r="H308" s="4">
        <f t="shared" si="17"/>
        <v>-0.16447376499312361</v>
      </c>
    </row>
    <row r="309" spans="1:8" x14ac:dyDescent="0.25">
      <c r="A309">
        <v>0.59855100000000006</v>
      </c>
      <c r="B309">
        <f t="shared" si="15"/>
        <v>598.55100000000004</v>
      </c>
      <c r="C309">
        <v>-0.15880900000000001</v>
      </c>
      <c r="D309">
        <v>-0.15880900000000001</v>
      </c>
      <c r="E309" s="4">
        <f t="shared" si="13"/>
        <v>603.79670096400002</v>
      </c>
      <c r="F309" s="4">
        <f t="shared" si="14"/>
        <v>-0.15837386334</v>
      </c>
      <c r="G309" s="4"/>
      <c r="H309" s="4">
        <f t="shared" si="17"/>
        <v>-0.15651985439229144</v>
      </c>
    </row>
    <row r="310" spans="1:8" x14ac:dyDescent="0.25">
      <c r="A310">
        <v>0.60051399999999999</v>
      </c>
      <c r="B310">
        <f t="shared" si="15"/>
        <v>600.51400000000001</v>
      </c>
      <c r="C310">
        <v>-0.14344799999999999</v>
      </c>
      <c r="D310">
        <v>-0.14344799999999999</v>
      </c>
      <c r="E310" s="4">
        <f t="shared" si="13"/>
        <v>605.77690469599997</v>
      </c>
      <c r="F310" s="4">
        <f t="shared" si="14"/>
        <v>-0.14305495248</v>
      </c>
      <c r="G310" s="4"/>
      <c r="H310" s="4">
        <f t="shared" ref="H310:H373" si="18">SUM($J$6*$J$4*COS($J$5+($J$5-PI())*(E310-$N$5)/($N$5-$N$4)),$N$6,$J$6*$J$4)</f>
        <v>-0.14802920417599963</v>
      </c>
    </row>
    <row r="311" spans="1:8" x14ac:dyDescent="0.25">
      <c r="A311">
        <v>0.60247600000000001</v>
      </c>
      <c r="B311">
        <f t="shared" si="15"/>
        <v>602.476</v>
      </c>
      <c r="C311">
        <v>-0.14041300000000001</v>
      </c>
      <c r="D311">
        <v>-0.14041300000000001</v>
      </c>
      <c r="E311" s="4">
        <f t="shared" si="13"/>
        <v>607.75609966399998</v>
      </c>
      <c r="F311" s="4">
        <f t="shared" si="14"/>
        <v>-0.14002826838000001</v>
      </c>
      <c r="G311" s="4"/>
      <c r="H311" s="4">
        <f t="shared" si="18"/>
        <v>-0.13901367048186053</v>
      </c>
    </row>
    <row r="312" spans="1:8" x14ac:dyDescent="0.25">
      <c r="A312">
        <v>0.60443899999999995</v>
      </c>
      <c r="B312">
        <f t="shared" si="15"/>
        <v>604.43899999999996</v>
      </c>
      <c r="C312">
        <v>-0.124918</v>
      </c>
      <c r="D312">
        <v>-0.124918</v>
      </c>
      <c r="E312" s="4">
        <f t="shared" si="13"/>
        <v>609.73630339599993</v>
      </c>
      <c r="F312" s="4">
        <f t="shared" si="14"/>
        <v>-0.12457572468</v>
      </c>
      <c r="G312" s="4"/>
      <c r="H312" s="4">
        <f t="shared" si="18"/>
        <v>-0.12946747081982002</v>
      </c>
    </row>
    <row r="313" spans="1:8" x14ac:dyDescent="0.25">
      <c r="A313">
        <v>0.60640099999999997</v>
      </c>
      <c r="B313">
        <f t="shared" si="15"/>
        <v>606.40099999999995</v>
      </c>
      <c r="C313">
        <v>-0.105214</v>
      </c>
      <c r="D313">
        <v>-0.105214</v>
      </c>
      <c r="E313" s="4">
        <f t="shared" si="13"/>
        <v>611.71549836399993</v>
      </c>
      <c r="F313" s="4">
        <f t="shared" si="14"/>
        <v>-0.10492571364</v>
      </c>
      <c r="G313" s="4"/>
      <c r="H313" s="4">
        <f t="shared" si="18"/>
        <v>-0.11940393527108162</v>
      </c>
    </row>
    <row r="314" spans="1:8" x14ac:dyDescent="0.25">
      <c r="A314">
        <v>0.60836400000000002</v>
      </c>
      <c r="B314">
        <f t="shared" si="15"/>
        <v>608.36400000000003</v>
      </c>
      <c r="C314">
        <v>-9.5379900000000004E-2</v>
      </c>
      <c r="D314">
        <v>-9.5379900000000004E-2</v>
      </c>
      <c r="E314" s="4">
        <f t="shared" si="13"/>
        <v>613.69570209599999</v>
      </c>
      <c r="F314" s="4">
        <f t="shared" si="14"/>
        <v>-9.5118559074000006E-2</v>
      </c>
      <c r="G314" s="4"/>
      <c r="H314" s="4">
        <f t="shared" si="18"/>
        <v>-0.10881660916571767</v>
      </c>
    </row>
    <row r="315" spans="1:8" x14ac:dyDescent="0.25">
      <c r="A315">
        <v>0.61032600000000004</v>
      </c>
      <c r="B315">
        <f t="shared" si="15"/>
        <v>610.32600000000002</v>
      </c>
      <c r="C315">
        <v>-7.8387999999999999E-2</v>
      </c>
      <c r="D315">
        <v>-7.8387999999999999E-2</v>
      </c>
      <c r="E315" s="4">
        <f t="shared" si="13"/>
        <v>615.67489706399999</v>
      </c>
      <c r="F315" s="4">
        <f t="shared" si="14"/>
        <v>-7.8173216880000007E-2</v>
      </c>
      <c r="G315" s="4"/>
      <c r="H315" s="4">
        <f t="shared" si="18"/>
        <v>-9.7720276388596039E-2</v>
      </c>
    </row>
    <row r="316" spans="1:8" x14ac:dyDescent="0.25">
      <c r="A316">
        <v>0.61228899999999997</v>
      </c>
      <c r="B316">
        <f t="shared" si="15"/>
        <v>612.28899999999999</v>
      </c>
      <c r="C316">
        <v>-5.4909300000000001E-2</v>
      </c>
      <c r="D316">
        <v>-5.4909300000000001E-2</v>
      </c>
      <c r="E316" s="4">
        <f t="shared" si="13"/>
        <v>617.65510079599994</v>
      </c>
      <c r="F316" s="4">
        <f t="shared" si="14"/>
        <v>-5.4758848518000003E-2</v>
      </c>
      <c r="G316" s="4"/>
      <c r="H316" s="4">
        <f t="shared" si="18"/>
        <v>-8.6107819842037747E-2</v>
      </c>
    </row>
    <row r="317" spans="1:8" x14ac:dyDescent="0.25">
      <c r="A317">
        <v>0.61425099999999999</v>
      </c>
      <c r="B317">
        <f t="shared" si="15"/>
        <v>614.25099999999998</v>
      </c>
      <c r="C317">
        <v>-4.6772399999999999E-2</v>
      </c>
      <c r="D317">
        <v>-4.6772399999999999E-2</v>
      </c>
      <c r="E317">
        <f t="shared" si="13"/>
        <v>619.63429576399994</v>
      </c>
      <c r="F317">
        <f t="shared" si="14"/>
        <v>-4.6644243623999999E-2</v>
      </c>
      <c r="H317">
        <f t="shared" si="18"/>
        <v>-7.3995454878143629E-2</v>
      </c>
    </row>
    <row r="318" spans="1:8" x14ac:dyDescent="0.25">
      <c r="A318">
        <v>0.61621300000000001</v>
      </c>
      <c r="B318">
        <f t="shared" si="15"/>
        <v>616.21299999999997</v>
      </c>
      <c r="C318">
        <v>-3.59914E-2</v>
      </c>
      <c r="D318">
        <v>-3.59914E-2</v>
      </c>
      <c r="E318">
        <f t="shared" si="13"/>
        <v>621.61349073199995</v>
      </c>
      <c r="F318">
        <f t="shared" si="14"/>
        <v>-3.5892783564000004E-2</v>
      </c>
      <c r="H318">
        <f t="shared" si="18"/>
        <v>-6.1381968586672553E-2</v>
      </c>
    </row>
    <row r="319" spans="1:8" x14ac:dyDescent="0.25">
      <c r="A319">
        <v>0.61817599999999995</v>
      </c>
      <c r="B319">
        <f t="shared" si="15"/>
        <v>618.17599999999993</v>
      </c>
      <c r="C319">
        <v>-4.4192299999999997E-2</v>
      </c>
      <c r="D319">
        <v>-4.4192299999999997E-2</v>
      </c>
      <c r="E319">
        <f t="shared" si="13"/>
        <v>623.5936944639999</v>
      </c>
      <c r="F319">
        <f t="shared" si="14"/>
        <v>-4.4071213097999995E-2</v>
      </c>
      <c r="H319">
        <f t="shared" si="18"/>
        <v>-4.826531570110526E-2</v>
      </c>
    </row>
    <row r="320" spans="1:8" x14ac:dyDescent="0.25">
      <c r="A320">
        <v>0.62013799999999997</v>
      </c>
      <c r="B320">
        <f t="shared" si="15"/>
        <v>620.13799999999992</v>
      </c>
      <c r="C320">
        <v>-5.0711199999999998E-2</v>
      </c>
      <c r="D320">
        <v>-5.0711199999999998E-2</v>
      </c>
      <c r="E320">
        <f t="shared" si="13"/>
        <v>625.5728894319999</v>
      </c>
      <c r="F320">
        <f t="shared" si="14"/>
        <v>-5.0572251312000001E-2</v>
      </c>
      <c r="H320">
        <f t="shared" si="18"/>
        <v>-3.4663811996754834E-2</v>
      </c>
    </row>
    <row r="321" spans="1:8" x14ac:dyDescent="0.25">
      <c r="A321">
        <v>0.62210100000000002</v>
      </c>
      <c r="B321">
        <f t="shared" si="15"/>
        <v>622.101</v>
      </c>
      <c r="C321">
        <v>-1.7197499999999999E-3</v>
      </c>
      <c r="D321">
        <v>-1.7197499999999999E-3</v>
      </c>
      <c r="E321">
        <f t="shared" si="13"/>
        <v>627.55309316399996</v>
      </c>
      <c r="F321">
        <f t="shared" si="14"/>
        <v>-1.7150378849999999E-3</v>
      </c>
      <c r="H321">
        <f t="shared" si="18"/>
        <v>-2.0568733579664933E-2</v>
      </c>
    </row>
    <row r="322" spans="1:8" x14ac:dyDescent="0.25">
      <c r="A322">
        <v>0.62406300000000003</v>
      </c>
      <c r="B322">
        <f t="shared" si="15"/>
        <v>624.06299999999999</v>
      </c>
      <c r="C322">
        <v>5.5279500000000002E-2</v>
      </c>
      <c r="D322">
        <v>5.5279500000000002E-2</v>
      </c>
      <c r="E322">
        <f t="shared" si="13"/>
        <v>629.53228813199996</v>
      </c>
      <c r="F322">
        <f t="shared" si="14"/>
        <v>5.5128034170000006E-2</v>
      </c>
      <c r="H322">
        <f t="shared" si="18"/>
        <v>-5.9997624747825107E-3</v>
      </c>
    </row>
    <row r="323" spans="1:8" x14ac:dyDescent="0.25">
      <c r="A323">
        <v>0.62602599999999997</v>
      </c>
      <c r="B323">
        <f t="shared" si="15"/>
        <v>626.02599999999995</v>
      </c>
      <c r="C323">
        <v>7.6565800000000003E-2</v>
      </c>
      <c r="D323">
        <v>7.6565800000000003E-2</v>
      </c>
      <c r="E323">
        <f t="shared" si="13"/>
        <v>631.51249186399991</v>
      </c>
      <c r="F323">
        <f t="shared" si="14"/>
        <v>7.6356009708000008E-2</v>
      </c>
      <c r="H323">
        <f t="shared" si="18"/>
        <v>9.0524457375766865E-3</v>
      </c>
    </row>
    <row r="324" spans="1:8" x14ac:dyDescent="0.25">
      <c r="A324">
        <v>0.62798799999999999</v>
      </c>
      <c r="B324">
        <f t="shared" si="15"/>
        <v>627.98799999999994</v>
      </c>
      <c r="C324">
        <v>0.101314</v>
      </c>
      <c r="D324">
        <v>0.101314</v>
      </c>
      <c r="E324">
        <f t="shared" ref="E324:E387" si="19">(B324*$E$2-$F$3)*COS($F$4)+$F$3</f>
        <v>633.49168683199991</v>
      </c>
      <c r="F324">
        <f t="shared" ref="F324:F387" si="20">C324*$F$2</f>
        <v>0.10103639964000001</v>
      </c>
      <c r="H324">
        <f t="shared" si="18"/>
        <v>2.4566872519683036E-2</v>
      </c>
    </row>
    <row r="325" spans="1:8" x14ac:dyDescent="0.25">
      <c r="A325">
        <v>0.62995100000000004</v>
      </c>
      <c r="B325">
        <f t="shared" ref="B325:B388" si="21">A325*1000</f>
        <v>629.95100000000002</v>
      </c>
      <c r="C325">
        <v>9.4011600000000001E-2</v>
      </c>
      <c r="D325">
        <v>9.4011600000000001E-2</v>
      </c>
      <c r="E325">
        <f t="shared" si="19"/>
        <v>635.47189056399998</v>
      </c>
      <c r="F325">
        <f t="shared" si="20"/>
        <v>9.3754008216000009E-2</v>
      </c>
      <c r="H325">
        <f t="shared" si="18"/>
        <v>4.0553468698810491E-2</v>
      </c>
    </row>
    <row r="326" spans="1:8" x14ac:dyDescent="0.25">
      <c r="A326">
        <v>0.63191299999999995</v>
      </c>
      <c r="B326">
        <f t="shared" si="21"/>
        <v>631.9129999999999</v>
      </c>
      <c r="C326">
        <v>9.2099700000000007E-2</v>
      </c>
      <c r="D326">
        <v>9.2099700000000007E-2</v>
      </c>
      <c r="E326">
        <f t="shared" si="19"/>
        <v>637.45108553199987</v>
      </c>
      <c r="F326">
        <f t="shared" si="20"/>
        <v>9.1847346822000006E-2</v>
      </c>
      <c r="H326">
        <f t="shared" si="18"/>
        <v>5.6989910980577374E-2</v>
      </c>
    </row>
    <row r="327" spans="1:8" x14ac:dyDescent="0.25">
      <c r="A327">
        <v>0.633876</v>
      </c>
      <c r="B327">
        <f t="shared" si="21"/>
        <v>633.87599999999998</v>
      </c>
      <c r="C327">
        <v>8.9206300000000002E-2</v>
      </c>
      <c r="D327">
        <v>8.9206300000000002E-2</v>
      </c>
      <c r="E327">
        <f t="shared" si="19"/>
        <v>639.43128926399993</v>
      </c>
      <c r="F327">
        <f t="shared" si="20"/>
        <v>8.8961874738000005E-2</v>
      </c>
      <c r="H327">
        <f t="shared" si="18"/>
        <v>7.3886741565510672E-2</v>
      </c>
    </row>
    <row r="328" spans="1:8" x14ac:dyDescent="0.25">
      <c r="A328">
        <v>0.63583800000000001</v>
      </c>
      <c r="B328">
        <f t="shared" si="21"/>
        <v>635.83799999999997</v>
      </c>
      <c r="C328">
        <v>8.8520000000000001E-2</v>
      </c>
      <c r="D328">
        <v>8.8520000000000001E-2</v>
      </c>
      <c r="E328">
        <f t="shared" si="19"/>
        <v>641.41048423199993</v>
      </c>
      <c r="F328">
        <f t="shared" si="20"/>
        <v>8.8277455200000007E-2</v>
      </c>
      <c r="H328">
        <f t="shared" si="18"/>
        <v>9.1220366130026154E-2</v>
      </c>
    </row>
    <row r="329" spans="1:8" x14ac:dyDescent="0.25">
      <c r="A329">
        <v>0.63780099999999995</v>
      </c>
      <c r="B329">
        <f t="shared" si="21"/>
        <v>637.80099999999993</v>
      </c>
      <c r="C329">
        <v>0.11300200000000001</v>
      </c>
      <c r="D329">
        <v>0.11300200000000001</v>
      </c>
      <c r="E329">
        <f t="shared" si="19"/>
        <v>643.39068796399988</v>
      </c>
      <c r="F329">
        <f t="shared" si="20"/>
        <v>0.11269237452000001</v>
      </c>
      <c r="H329">
        <f t="shared" si="18"/>
        <v>0.1090019023200739</v>
      </c>
    </row>
    <row r="330" spans="1:8" x14ac:dyDescent="0.25">
      <c r="A330">
        <v>0.63976299999999997</v>
      </c>
      <c r="B330">
        <f t="shared" si="21"/>
        <v>639.76299999999992</v>
      </c>
      <c r="C330">
        <v>0.160104</v>
      </c>
      <c r="D330">
        <v>0.160104</v>
      </c>
      <c r="E330">
        <f t="shared" si="19"/>
        <v>645.36988293199988</v>
      </c>
      <c r="F330">
        <f t="shared" si="20"/>
        <v>0.15966531504000001</v>
      </c>
      <c r="H330">
        <f t="shared" si="18"/>
        <v>0.12720652043066694</v>
      </c>
    </row>
    <row r="331" spans="1:8" x14ac:dyDescent="0.25">
      <c r="A331">
        <v>0.64172600000000002</v>
      </c>
      <c r="B331">
        <f t="shared" si="21"/>
        <v>641.726</v>
      </c>
      <c r="C331">
        <v>0.20636599999999999</v>
      </c>
      <c r="D331">
        <v>0.20636599999999999</v>
      </c>
      <c r="E331">
        <f t="shared" si="19"/>
        <v>647.35008666399995</v>
      </c>
      <c r="F331">
        <f t="shared" si="20"/>
        <v>0.20580055716000001</v>
      </c>
      <c r="H331">
        <f t="shared" si="18"/>
        <v>0.14584589675593729</v>
      </c>
    </row>
    <row r="332" spans="1:8" x14ac:dyDescent="0.25">
      <c r="A332">
        <v>0.64368800000000004</v>
      </c>
      <c r="B332">
        <f t="shared" si="21"/>
        <v>643.68799999999999</v>
      </c>
      <c r="C332">
        <v>0.249693</v>
      </c>
      <c r="D332">
        <v>0.249693</v>
      </c>
      <c r="E332">
        <f t="shared" si="19"/>
        <v>649.32928163199995</v>
      </c>
      <c r="F332">
        <f t="shared" si="20"/>
        <v>0.24900884118</v>
      </c>
      <c r="H332">
        <f t="shared" si="18"/>
        <v>0.16489400372378071</v>
      </c>
    </row>
    <row r="333" spans="1:8" x14ac:dyDescent="0.25">
      <c r="A333">
        <v>0.64564999999999995</v>
      </c>
      <c r="B333">
        <f t="shared" si="21"/>
        <v>645.65</v>
      </c>
      <c r="C333">
        <v>0.233323</v>
      </c>
      <c r="D333">
        <v>0.233323</v>
      </c>
      <c r="E333">
        <f t="shared" si="19"/>
        <v>651.30847659999995</v>
      </c>
      <c r="F333">
        <f t="shared" si="20"/>
        <v>0.23268369498000002</v>
      </c>
      <c r="H333">
        <f t="shared" si="18"/>
        <v>0.18435303714526219</v>
      </c>
    </row>
    <row r="334" spans="1:8" x14ac:dyDescent="0.25">
      <c r="A334">
        <v>0.64761299999999999</v>
      </c>
      <c r="B334">
        <f t="shared" si="21"/>
        <v>647.61299999999994</v>
      </c>
      <c r="C334">
        <v>0.235625</v>
      </c>
      <c r="D334">
        <v>0.235625</v>
      </c>
      <c r="E334">
        <f t="shared" si="19"/>
        <v>653.2886803319999</v>
      </c>
      <c r="F334">
        <f t="shared" si="20"/>
        <v>0.2349793875</v>
      </c>
      <c r="H334">
        <f t="shared" si="18"/>
        <v>0.2042258753751629</v>
      </c>
    </row>
    <row r="335" spans="1:8" x14ac:dyDescent="0.25">
      <c r="A335">
        <v>0.64957500000000001</v>
      </c>
      <c r="B335">
        <f t="shared" si="21"/>
        <v>649.57500000000005</v>
      </c>
      <c r="C335">
        <v>0.23833499999999999</v>
      </c>
      <c r="D335">
        <v>0.23833499999999999</v>
      </c>
      <c r="E335">
        <f t="shared" si="19"/>
        <v>655.26787530000001</v>
      </c>
      <c r="F335">
        <f t="shared" si="20"/>
        <v>0.2376819621</v>
      </c>
      <c r="H335">
        <f t="shared" si="18"/>
        <v>0.22448476846515364</v>
      </c>
    </row>
    <row r="336" spans="1:8" x14ac:dyDescent="0.25">
      <c r="A336">
        <v>0.65153799999999995</v>
      </c>
      <c r="B336">
        <f t="shared" si="21"/>
        <v>651.5379999999999</v>
      </c>
      <c r="C336">
        <v>0.24610599999999999</v>
      </c>
      <c r="D336">
        <v>0.24610599999999999</v>
      </c>
      <c r="E336">
        <f t="shared" si="19"/>
        <v>657.24807903199985</v>
      </c>
      <c r="F336">
        <f t="shared" si="20"/>
        <v>0.24543166956000001</v>
      </c>
      <c r="H336">
        <f t="shared" si="18"/>
        <v>0.24514271030464085</v>
      </c>
    </row>
    <row r="337" spans="1:8" x14ac:dyDescent="0.25">
      <c r="A337">
        <v>0.65349999999999997</v>
      </c>
      <c r="B337">
        <f t="shared" si="21"/>
        <v>653.5</v>
      </c>
      <c r="C337">
        <v>0.26427899999999999</v>
      </c>
      <c r="D337">
        <v>0.26427899999999999</v>
      </c>
      <c r="E337">
        <f t="shared" si="19"/>
        <v>659.22727399999997</v>
      </c>
      <c r="F337">
        <f t="shared" si="20"/>
        <v>0.26355487554000001</v>
      </c>
      <c r="H337">
        <f t="shared" si="18"/>
        <v>0.26617085464570223</v>
      </c>
    </row>
    <row r="338" spans="1:8" x14ac:dyDescent="0.25">
      <c r="A338">
        <v>0.65546300000000002</v>
      </c>
      <c r="B338">
        <f t="shared" si="21"/>
        <v>655.46299999999997</v>
      </c>
      <c r="C338">
        <v>0.34452100000000002</v>
      </c>
      <c r="D338">
        <v>0.34452100000000002</v>
      </c>
      <c r="E338">
        <f t="shared" si="19"/>
        <v>661.20747773199992</v>
      </c>
      <c r="F338">
        <f t="shared" si="20"/>
        <v>0.34357701246000005</v>
      </c>
      <c r="H338">
        <f t="shared" si="18"/>
        <v>0.28758268876924498</v>
      </c>
    </row>
    <row r="339" spans="1:8" x14ac:dyDescent="0.25">
      <c r="A339">
        <v>0.65742500000000004</v>
      </c>
      <c r="B339">
        <f t="shared" si="21"/>
        <v>657.42500000000007</v>
      </c>
      <c r="C339">
        <v>0.404279</v>
      </c>
      <c r="D339">
        <v>0.404279</v>
      </c>
      <c r="E339">
        <f t="shared" si="19"/>
        <v>663.18667270000003</v>
      </c>
      <c r="F339">
        <f t="shared" si="20"/>
        <v>0.40317127554000004</v>
      </c>
      <c r="H339">
        <f t="shared" si="18"/>
        <v>0.30934831371047844</v>
      </c>
    </row>
    <row r="340" spans="1:8" x14ac:dyDescent="0.25">
      <c r="A340">
        <v>0.65938799999999997</v>
      </c>
      <c r="B340">
        <f t="shared" si="21"/>
        <v>659.38799999999992</v>
      </c>
      <c r="C340">
        <v>0.40176899999999999</v>
      </c>
      <c r="D340">
        <v>0.40176899999999999</v>
      </c>
      <c r="E340">
        <f t="shared" si="19"/>
        <v>665.16687643199987</v>
      </c>
      <c r="F340">
        <f t="shared" si="20"/>
        <v>0.40066815294000002</v>
      </c>
      <c r="H340">
        <f t="shared" si="18"/>
        <v>0.33148168976437753</v>
      </c>
    </row>
    <row r="341" spans="1:8" x14ac:dyDescent="0.25">
      <c r="A341">
        <v>0.66134999999999999</v>
      </c>
      <c r="B341">
        <f t="shared" si="21"/>
        <v>661.35</v>
      </c>
      <c r="C341">
        <v>0.38015500000000002</v>
      </c>
      <c r="D341">
        <v>0.38015500000000002</v>
      </c>
      <c r="E341">
        <f t="shared" si="19"/>
        <v>667.14607139999998</v>
      </c>
      <c r="F341">
        <f t="shared" si="20"/>
        <v>0.37911337530000006</v>
      </c>
      <c r="H341">
        <f t="shared" si="18"/>
        <v>0.35395191042253704</v>
      </c>
    </row>
    <row r="342" spans="1:8" x14ac:dyDescent="0.25">
      <c r="A342">
        <v>0.66331300000000004</v>
      </c>
      <c r="B342">
        <f t="shared" si="21"/>
        <v>663.31299999999999</v>
      </c>
      <c r="C342">
        <v>0.41540100000000002</v>
      </c>
      <c r="D342">
        <v>0.41540100000000002</v>
      </c>
      <c r="E342">
        <f t="shared" si="19"/>
        <v>669.12627513199993</v>
      </c>
      <c r="F342">
        <f t="shared" si="20"/>
        <v>0.41426280126000004</v>
      </c>
      <c r="H342">
        <f t="shared" si="18"/>
        <v>0.37677338790189929</v>
      </c>
    </row>
    <row r="343" spans="1:8" x14ac:dyDescent="0.25">
      <c r="A343">
        <v>0.66527499999999995</v>
      </c>
      <c r="B343">
        <f t="shared" si="21"/>
        <v>665.27499999999998</v>
      </c>
      <c r="C343">
        <v>0.41776099999999999</v>
      </c>
      <c r="D343">
        <v>0.41776099999999999</v>
      </c>
      <c r="E343">
        <f t="shared" si="19"/>
        <v>671.10547009999993</v>
      </c>
      <c r="F343">
        <f t="shared" si="20"/>
        <v>0.41661633485999999</v>
      </c>
      <c r="H343">
        <f t="shared" si="18"/>
        <v>0.39991425484594934</v>
      </c>
    </row>
    <row r="344" spans="1:8" x14ac:dyDescent="0.25">
      <c r="A344">
        <v>0.667238</v>
      </c>
      <c r="B344">
        <f t="shared" si="21"/>
        <v>667.23799999999994</v>
      </c>
      <c r="C344">
        <v>0.43629400000000002</v>
      </c>
      <c r="D344">
        <v>0.43629400000000002</v>
      </c>
      <c r="E344">
        <f t="shared" si="19"/>
        <v>673.08567383199988</v>
      </c>
      <c r="F344">
        <f t="shared" si="20"/>
        <v>0.43509855444000001</v>
      </c>
      <c r="H344">
        <f t="shared" si="18"/>
        <v>0.42338935361870811</v>
      </c>
    </row>
    <row r="345" spans="1:8" x14ac:dyDescent="0.25">
      <c r="A345">
        <v>0.66920000000000002</v>
      </c>
      <c r="B345">
        <f t="shared" si="21"/>
        <v>669.2</v>
      </c>
      <c r="C345">
        <v>0.52381599999999995</v>
      </c>
      <c r="D345">
        <v>0.52381599999999995</v>
      </c>
      <c r="E345">
        <f t="shared" si="19"/>
        <v>675.0648688</v>
      </c>
      <c r="F345">
        <f t="shared" si="20"/>
        <v>0.52238074416000002</v>
      </c>
      <c r="H345">
        <f t="shared" si="18"/>
        <v>0.44716590416277491</v>
      </c>
    </row>
    <row r="346" spans="1:8" x14ac:dyDescent="0.25">
      <c r="A346">
        <v>0.67116200000000004</v>
      </c>
      <c r="B346">
        <f t="shared" si="21"/>
        <v>671.16200000000003</v>
      </c>
      <c r="C346">
        <v>0.56373200000000001</v>
      </c>
      <c r="D346">
        <v>0.56373200000000001</v>
      </c>
      <c r="E346">
        <f t="shared" si="19"/>
        <v>677.044063768</v>
      </c>
      <c r="F346">
        <f t="shared" si="20"/>
        <v>0.56218737431999999</v>
      </c>
      <c r="H346">
        <f t="shared" si="18"/>
        <v>0.47124680685357734</v>
      </c>
    </row>
    <row r="347" spans="1:8" x14ac:dyDescent="0.25">
      <c r="A347">
        <v>0.67312499999999997</v>
      </c>
      <c r="B347">
        <f t="shared" si="21"/>
        <v>673.125</v>
      </c>
      <c r="C347">
        <v>0.58080699999999996</v>
      </c>
      <c r="D347">
        <v>0.58080699999999996</v>
      </c>
      <c r="E347">
        <f t="shared" si="19"/>
        <v>679.02426749999995</v>
      </c>
      <c r="F347">
        <f t="shared" si="20"/>
        <v>0.57921558882000002</v>
      </c>
      <c r="H347">
        <f t="shared" si="18"/>
        <v>0.49563546759166699</v>
      </c>
    </row>
    <row r="348" spans="1:8" x14ac:dyDescent="0.25">
      <c r="A348">
        <v>0.67508699999999999</v>
      </c>
      <c r="B348" s="4">
        <f t="shared" si="21"/>
        <v>675.08699999999999</v>
      </c>
      <c r="C348" s="4">
        <v>0.537914</v>
      </c>
      <c r="D348">
        <v>0.537914</v>
      </c>
      <c r="E348">
        <f t="shared" si="19"/>
        <v>681.00346246799995</v>
      </c>
      <c r="F348">
        <f t="shared" si="20"/>
        <v>0.53644011564000005</v>
      </c>
      <c r="H348">
        <f t="shared" si="18"/>
        <v>0.5202978306439161</v>
      </c>
    </row>
    <row r="349" spans="1:8" x14ac:dyDescent="0.25">
      <c r="A349">
        <v>0.67705000000000004</v>
      </c>
      <c r="B349">
        <f t="shared" si="21"/>
        <v>677.05000000000007</v>
      </c>
      <c r="C349">
        <v>0.51403200000000004</v>
      </c>
      <c r="D349">
        <v>0.51403200000000004</v>
      </c>
      <c r="E349">
        <f t="shared" si="19"/>
        <v>682.98366620000002</v>
      </c>
      <c r="F349">
        <f t="shared" si="20"/>
        <v>0.51262355232000001</v>
      </c>
      <c r="H349">
        <f t="shared" si="18"/>
        <v>0.54524971424958713</v>
      </c>
    </row>
    <row r="350" spans="1:8" x14ac:dyDescent="0.25">
      <c r="A350">
        <v>0.67901199999999995</v>
      </c>
      <c r="B350">
        <f t="shared" si="21"/>
        <v>679.01199999999994</v>
      </c>
      <c r="C350">
        <v>0.55422400000000005</v>
      </c>
      <c r="D350">
        <v>0.55422400000000005</v>
      </c>
      <c r="E350">
        <f t="shared" si="19"/>
        <v>684.9628611679999</v>
      </c>
      <c r="F350">
        <f t="shared" si="20"/>
        <v>0.55270542624000008</v>
      </c>
      <c r="H350">
        <f t="shared" si="18"/>
        <v>0.57045627620482176</v>
      </c>
    </row>
    <row r="351" spans="1:8" x14ac:dyDescent="0.25">
      <c r="A351">
        <v>0.680975</v>
      </c>
      <c r="B351">
        <f t="shared" si="21"/>
        <v>680.97500000000002</v>
      </c>
      <c r="C351">
        <v>0.64773499999999995</v>
      </c>
      <c r="D351">
        <v>0.64773499999999995</v>
      </c>
      <c r="E351">
        <f t="shared" si="19"/>
        <v>686.94306489999997</v>
      </c>
      <c r="F351">
        <f t="shared" si="20"/>
        <v>0.64596020609999993</v>
      </c>
      <c r="H351">
        <f t="shared" si="18"/>
        <v>0.59593368379364375</v>
      </c>
    </row>
    <row r="352" spans="1:8" x14ac:dyDescent="0.25">
      <c r="A352">
        <v>0.68293700000000002</v>
      </c>
      <c r="B352">
        <f t="shared" si="21"/>
        <v>682.93700000000001</v>
      </c>
      <c r="C352">
        <v>0.72065699999999999</v>
      </c>
      <c r="D352">
        <v>0.72065699999999999</v>
      </c>
      <c r="E352">
        <f t="shared" si="19"/>
        <v>688.92225986799997</v>
      </c>
      <c r="F352">
        <f t="shared" si="20"/>
        <v>0.71868239982000004</v>
      </c>
      <c r="H352">
        <f t="shared" si="18"/>
        <v>0.62164636098327519</v>
      </c>
    </row>
    <row r="353" spans="1:8" x14ac:dyDescent="0.25">
      <c r="A353">
        <v>0.68489999999999995</v>
      </c>
      <c r="B353">
        <f t="shared" si="21"/>
        <v>684.9</v>
      </c>
      <c r="C353">
        <v>0.73521499999999995</v>
      </c>
      <c r="D353">
        <v>0.73521499999999995</v>
      </c>
      <c r="E353">
        <f t="shared" si="19"/>
        <v>690.90246359999992</v>
      </c>
      <c r="F353">
        <f t="shared" si="20"/>
        <v>0.73320051089999994</v>
      </c>
      <c r="H353">
        <f t="shared" si="18"/>
        <v>0.64761079967593527</v>
      </c>
    </row>
    <row r="354" spans="1:8" x14ac:dyDescent="0.25">
      <c r="A354">
        <v>0.68686199999999997</v>
      </c>
      <c r="B354">
        <f t="shared" si="21"/>
        <v>686.86199999999997</v>
      </c>
      <c r="C354">
        <v>0.68807099999999999</v>
      </c>
      <c r="D354">
        <v>0.68807099999999999</v>
      </c>
      <c r="E354">
        <f t="shared" si="19"/>
        <v>692.88165856799992</v>
      </c>
      <c r="F354">
        <f t="shared" si="20"/>
        <v>0.68618568546000003</v>
      </c>
      <c r="H354">
        <f t="shared" si="18"/>
        <v>0.673790743760454</v>
      </c>
    </row>
    <row r="355" spans="1:8" x14ac:dyDescent="0.25">
      <c r="A355">
        <v>0.68882500000000002</v>
      </c>
      <c r="B355">
        <f t="shared" si="21"/>
        <v>688.82500000000005</v>
      </c>
      <c r="C355">
        <v>0.64014800000000005</v>
      </c>
      <c r="D355">
        <v>0.64014800000000005</v>
      </c>
      <c r="E355">
        <f t="shared" si="19"/>
        <v>694.8618623000001</v>
      </c>
      <c r="F355">
        <f t="shared" si="20"/>
        <v>0.63839399448000012</v>
      </c>
      <c r="H355">
        <f t="shared" si="18"/>
        <v>0.70020298484023891</v>
      </c>
    </row>
    <row r="356" spans="1:8" x14ac:dyDescent="0.25">
      <c r="A356">
        <v>0.69078700000000004</v>
      </c>
      <c r="B356">
        <f t="shared" si="21"/>
        <v>690.78700000000003</v>
      </c>
      <c r="C356">
        <v>0.66747699999999999</v>
      </c>
      <c r="D356">
        <v>0.66747699999999999</v>
      </c>
      <c r="E356">
        <f t="shared" si="19"/>
        <v>696.84105726799999</v>
      </c>
      <c r="F356">
        <f t="shared" si="20"/>
        <v>0.66564811302000004</v>
      </c>
      <c r="H356">
        <f t="shared" si="18"/>
        <v>0.72681064150374364</v>
      </c>
    </row>
    <row r="357" spans="1:8" x14ac:dyDescent="0.25">
      <c r="A357">
        <v>0.69274999999999998</v>
      </c>
      <c r="B357">
        <f t="shared" si="21"/>
        <v>692.75</v>
      </c>
      <c r="C357">
        <v>0.81317300000000003</v>
      </c>
      <c r="D357">
        <v>0.81317300000000003</v>
      </c>
      <c r="E357">
        <f t="shared" si="19"/>
        <v>698.82126100000005</v>
      </c>
      <c r="F357">
        <f t="shared" si="20"/>
        <v>0.81094490598000002</v>
      </c>
      <c r="H357">
        <f t="shared" si="18"/>
        <v>0.7536307796857542</v>
      </c>
    </row>
    <row r="358" spans="1:8" x14ac:dyDescent="0.25">
      <c r="A358">
        <v>0.694712</v>
      </c>
      <c r="B358">
        <f t="shared" si="21"/>
        <v>694.71199999999999</v>
      </c>
      <c r="C358">
        <v>0.89556500000000006</v>
      </c>
      <c r="D358">
        <v>0.89556500000000006</v>
      </c>
      <c r="E358">
        <f t="shared" si="19"/>
        <v>700.80045596799994</v>
      </c>
      <c r="F358">
        <f t="shared" si="20"/>
        <v>0.89311115190000012</v>
      </c>
      <c r="H358">
        <f t="shared" si="18"/>
        <v>0.78062594839712396</v>
      </c>
    </row>
    <row r="359" spans="1:8" x14ac:dyDescent="0.25">
      <c r="A359">
        <v>0.69667400000000002</v>
      </c>
      <c r="B359">
        <f t="shared" si="21"/>
        <v>696.67399999999998</v>
      </c>
      <c r="C359">
        <v>0.90185599999999999</v>
      </c>
      <c r="D359">
        <v>0.90185599999999999</v>
      </c>
      <c r="E359">
        <f t="shared" si="19"/>
        <v>702.77965093599994</v>
      </c>
      <c r="F359">
        <f t="shared" si="20"/>
        <v>0.89938491456000003</v>
      </c>
      <c r="H359">
        <f t="shared" si="18"/>
        <v>0.80779956840205291</v>
      </c>
    </row>
    <row r="360" spans="1:8" x14ac:dyDescent="0.25">
      <c r="A360">
        <v>0.69863699999999995</v>
      </c>
      <c r="B360">
        <f t="shared" si="21"/>
        <v>698.63699999999994</v>
      </c>
      <c r="C360">
        <v>0.85170500000000005</v>
      </c>
      <c r="D360">
        <v>0.85170500000000005</v>
      </c>
      <c r="E360">
        <f t="shared" si="19"/>
        <v>704.75985466799989</v>
      </c>
      <c r="F360">
        <f t="shared" si="20"/>
        <v>0.84937132830000006</v>
      </c>
      <c r="H360">
        <f t="shared" si="18"/>
        <v>0.83515535687010933</v>
      </c>
    </row>
    <row r="361" spans="1:8" x14ac:dyDescent="0.25">
      <c r="A361">
        <v>0.70059899999999997</v>
      </c>
      <c r="B361">
        <f t="shared" si="21"/>
        <v>700.59899999999993</v>
      </c>
      <c r="C361">
        <v>0.73928499999999997</v>
      </c>
      <c r="D361">
        <v>0.73928499999999997</v>
      </c>
      <c r="E361">
        <f t="shared" si="19"/>
        <v>706.73904963599989</v>
      </c>
      <c r="F361">
        <f t="shared" si="20"/>
        <v>0.73725935909999996</v>
      </c>
      <c r="H361">
        <f t="shared" si="18"/>
        <v>0.86265511484311108</v>
      </c>
    </row>
    <row r="362" spans="1:8" x14ac:dyDescent="0.25">
      <c r="A362">
        <v>0.70256200000000002</v>
      </c>
      <c r="B362">
        <f t="shared" si="21"/>
        <v>702.56200000000001</v>
      </c>
      <c r="C362">
        <v>0.84314900000000004</v>
      </c>
      <c r="D362">
        <v>0.84314900000000004</v>
      </c>
      <c r="E362">
        <f t="shared" si="19"/>
        <v>708.71925336799995</v>
      </c>
      <c r="F362">
        <f t="shared" si="20"/>
        <v>0.8408387717400001</v>
      </c>
      <c r="H362">
        <f t="shared" si="18"/>
        <v>0.89031648044236822</v>
      </c>
    </row>
    <row r="363" spans="1:8" x14ac:dyDescent="0.25">
      <c r="A363">
        <v>0.70452400000000004</v>
      </c>
      <c r="B363">
        <f t="shared" si="21"/>
        <v>704.524</v>
      </c>
      <c r="C363">
        <v>1.04217</v>
      </c>
      <c r="D363">
        <v>1.04217</v>
      </c>
      <c r="E363">
        <f t="shared" si="19"/>
        <v>710.69844833599996</v>
      </c>
      <c r="F363">
        <f t="shared" si="20"/>
        <v>1.0393144542000001</v>
      </c>
      <c r="H363">
        <f t="shared" si="18"/>
        <v>0.91810082800921666</v>
      </c>
    </row>
    <row r="364" spans="1:8" x14ac:dyDescent="0.25">
      <c r="A364">
        <v>0.70648699999999998</v>
      </c>
      <c r="B364">
        <f t="shared" si="21"/>
        <v>706.48699999999997</v>
      </c>
      <c r="C364">
        <v>1.1227499999999999</v>
      </c>
      <c r="D364">
        <v>1.1227499999999999</v>
      </c>
      <c r="E364">
        <f t="shared" si="19"/>
        <v>712.67865206799991</v>
      </c>
      <c r="F364">
        <f t="shared" si="20"/>
        <v>1.1196736649999999</v>
      </c>
      <c r="H364">
        <f t="shared" si="18"/>
        <v>0.94602597819842171</v>
      </c>
    </row>
    <row r="365" spans="1:8" x14ac:dyDescent="0.25">
      <c r="A365">
        <v>0.708449</v>
      </c>
      <c r="B365">
        <f t="shared" si="21"/>
        <v>708.44899999999996</v>
      </c>
      <c r="C365">
        <v>1.10379</v>
      </c>
      <c r="D365">
        <v>1.10379</v>
      </c>
      <c r="E365">
        <f t="shared" si="19"/>
        <v>714.65784703599991</v>
      </c>
      <c r="F365">
        <f t="shared" si="20"/>
        <v>1.1007656154000001</v>
      </c>
      <c r="H365">
        <f t="shared" si="18"/>
        <v>0.97405293700893036</v>
      </c>
    </row>
    <row r="366" spans="1:8" x14ac:dyDescent="0.25">
      <c r="A366">
        <v>0.71041200000000004</v>
      </c>
      <c r="B366">
        <f t="shared" si="21"/>
        <v>710.41200000000003</v>
      </c>
      <c r="C366">
        <v>0.99043300000000001</v>
      </c>
      <c r="D366">
        <v>0.99043300000000001</v>
      </c>
      <c r="E366">
        <f t="shared" si="19"/>
        <v>716.63805076800008</v>
      </c>
      <c r="F366">
        <f t="shared" si="20"/>
        <v>0.98771921358000003</v>
      </c>
      <c r="H366">
        <f t="shared" si="18"/>
        <v>1.0021996807043907</v>
      </c>
    </row>
    <row r="367" spans="1:8" x14ac:dyDescent="0.25">
      <c r="A367">
        <v>0.71237399999999995</v>
      </c>
      <c r="B367">
        <f t="shared" si="21"/>
        <v>712.37399999999991</v>
      </c>
      <c r="C367">
        <v>0.92529600000000001</v>
      </c>
      <c r="D367">
        <v>0.92529600000000001</v>
      </c>
      <c r="E367">
        <f t="shared" si="19"/>
        <v>718.61724573599986</v>
      </c>
      <c r="F367">
        <f t="shared" si="20"/>
        <v>0.92276068896000008</v>
      </c>
      <c r="H367">
        <f t="shared" si="18"/>
        <v>1.0304269058559514</v>
      </c>
    </row>
    <row r="368" spans="1:8" x14ac:dyDescent="0.25">
      <c r="A368">
        <v>0.714337</v>
      </c>
      <c r="B368" s="4">
        <f t="shared" si="21"/>
        <v>714.33699999999999</v>
      </c>
      <c r="C368" s="4">
        <v>1.02677</v>
      </c>
      <c r="D368">
        <v>1.02677</v>
      </c>
      <c r="E368">
        <f t="shared" si="19"/>
        <v>720.59744946800004</v>
      </c>
      <c r="F368">
        <f t="shared" si="20"/>
        <v>1.0239566501999999</v>
      </c>
      <c r="H368">
        <f t="shared" si="18"/>
        <v>1.0587527171764759</v>
      </c>
    </row>
    <row r="369" spans="1:8" x14ac:dyDescent="0.25">
      <c r="A369">
        <v>0.71629900000000002</v>
      </c>
      <c r="B369">
        <f t="shared" si="21"/>
        <v>716.29899999999998</v>
      </c>
      <c r="C369">
        <v>1.16825</v>
      </c>
      <c r="D369">
        <v>1.16825</v>
      </c>
      <c r="E369">
        <f t="shared" si="19"/>
        <v>722.57664443599992</v>
      </c>
      <c r="F369">
        <f t="shared" si="20"/>
        <v>1.165048995</v>
      </c>
      <c r="H369">
        <f t="shared" si="18"/>
        <v>1.0871375611914318</v>
      </c>
    </row>
    <row r="370" spans="1:8" x14ac:dyDescent="0.25">
      <c r="A370">
        <v>0.71826199999999996</v>
      </c>
      <c r="B370">
        <f t="shared" si="21"/>
        <v>718.26199999999994</v>
      </c>
      <c r="C370">
        <v>1.2617799999999999</v>
      </c>
      <c r="D370">
        <v>1.2617799999999999</v>
      </c>
      <c r="E370">
        <f t="shared" si="19"/>
        <v>724.55684816799999</v>
      </c>
      <c r="F370">
        <f t="shared" si="20"/>
        <v>1.2583227228</v>
      </c>
      <c r="H370">
        <f t="shared" si="18"/>
        <v>1.1155996437091333</v>
      </c>
    </row>
    <row r="371" spans="1:8" x14ac:dyDescent="0.25">
      <c r="A371">
        <v>0.72022399999999998</v>
      </c>
      <c r="B371">
        <f t="shared" si="21"/>
        <v>720.22399999999993</v>
      </c>
      <c r="C371">
        <v>1.2581800000000001</v>
      </c>
      <c r="D371">
        <v>1.2581800000000001</v>
      </c>
      <c r="E371">
        <f t="shared" si="19"/>
        <v>726.53604313599988</v>
      </c>
      <c r="F371">
        <f t="shared" si="20"/>
        <v>1.2547325868000001</v>
      </c>
      <c r="H371">
        <f t="shared" si="18"/>
        <v>1.1440992209692677</v>
      </c>
    </row>
    <row r="372" spans="1:8" x14ac:dyDescent="0.25">
      <c r="A372">
        <v>0.72218700000000002</v>
      </c>
      <c r="B372">
        <f t="shared" si="21"/>
        <v>722.18700000000001</v>
      </c>
      <c r="C372">
        <v>1.1413199999999999</v>
      </c>
      <c r="D372">
        <v>1.1413199999999999</v>
      </c>
      <c r="E372">
        <f t="shared" si="19"/>
        <v>728.51624686800005</v>
      </c>
      <c r="F372">
        <f t="shared" si="20"/>
        <v>1.1381927831999998</v>
      </c>
      <c r="H372">
        <f t="shared" si="18"/>
        <v>1.1726545723691206</v>
      </c>
    </row>
    <row r="373" spans="1:8" x14ac:dyDescent="0.25">
      <c r="A373">
        <v>0.72414900000000004</v>
      </c>
      <c r="B373">
        <f t="shared" si="21"/>
        <v>724.149</v>
      </c>
      <c r="C373">
        <v>1.0588200000000001</v>
      </c>
      <c r="D373">
        <v>1.0588200000000001</v>
      </c>
      <c r="E373">
        <f t="shared" si="19"/>
        <v>730.49544183599994</v>
      </c>
      <c r="F373">
        <f t="shared" si="20"/>
        <v>1.0559188332000002</v>
      </c>
      <c r="H373">
        <f t="shared" si="18"/>
        <v>1.2012258239099736</v>
      </c>
    </row>
    <row r="374" spans="1:8" x14ac:dyDescent="0.25">
      <c r="A374">
        <v>0.72611099999999995</v>
      </c>
      <c r="B374" s="5">
        <f t="shared" si="21"/>
        <v>726.11099999999999</v>
      </c>
      <c r="C374" s="5">
        <v>1.23319</v>
      </c>
      <c r="D374">
        <v>1.23319</v>
      </c>
      <c r="E374">
        <f t="shared" si="19"/>
        <v>732.47463680399994</v>
      </c>
      <c r="F374">
        <f t="shared" si="20"/>
        <v>1.2298110594</v>
      </c>
      <c r="H374">
        <f t="shared" ref="H374:H417" si="22">SUM($J$6*$J$4*COS($J$5+($J$5-PI())*(E374-$N$5)/($N$5-$N$4)),$N$6,$J$6*$J$4)</f>
        <v>1.2298167254604249</v>
      </c>
    </row>
    <row r="375" spans="1:8" x14ac:dyDescent="0.25">
      <c r="A375">
        <v>0.728074</v>
      </c>
      <c r="B375">
        <f t="shared" si="21"/>
        <v>728.07399999999996</v>
      </c>
      <c r="C375">
        <v>1.32704</v>
      </c>
      <c r="D375">
        <v>1.32704</v>
      </c>
      <c r="E375">
        <f t="shared" si="19"/>
        <v>734.45484053600001</v>
      </c>
      <c r="F375">
        <f t="shared" si="20"/>
        <v>1.3234039103999999</v>
      </c>
      <c r="H375">
        <f t="shared" si="22"/>
        <v>1.2584310595274877</v>
      </c>
    </row>
    <row r="376" spans="1:8" x14ac:dyDescent="0.25">
      <c r="A376">
        <v>0.73003600000000002</v>
      </c>
      <c r="B376">
        <f t="shared" si="21"/>
        <v>730.03600000000006</v>
      </c>
      <c r="C376">
        <v>1.4136200000000001</v>
      </c>
      <c r="D376">
        <v>1.4136200000000001</v>
      </c>
      <c r="E376">
        <f t="shared" si="19"/>
        <v>736.43403550400001</v>
      </c>
      <c r="F376">
        <f t="shared" si="20"/>
        <v>1.4097466812000001</v>
      </c>
      <c r="H376">
        <f t="shared" si="22"/>
        <v>1.2870288697504884</v>
      </c>
    </row>
    <row r="377" spans="1:8" x14ac:dyDescent="0.25">
      <c r="A377">
        <v>0.73199899999999996</v>
      </c>
      <c r="B377">
        <f t="shared" si="21"/>
        <v>731.99899999999991</v>
      </c>
      <c r="C377">
        <v>1.3903000000000001</v>
      </c>
      <c r="D377">
        <v>1.3903000000000001</v>
      </c>
      <c r="E377">
        <f t="shared" si="19"/>
        <v>738.41423923599996</v>
      </c>
      <c r="F377">
        <f t="shared" si="20"/>
        <v>1.3864905780000001</v>
      </c>
      <c r="H377">
        <f t="shared" si="22"/>
        <v>1.3156284985325299</v>
      </c>
    </row>
    <row r="378" spans="1:8" x14ac:dyDescent="0.25">
      <c r="A378">
        <v>0.73396099999999997</v>
      </c>
      <c r="B378">
        <f t="shared" si="21"/>
        <v>733.96100000000001</v>
      </c>
      <c r="C378">
        <v>1.2552700000000001</v>
      </c>
      <c r="D378">
        <v>1.2552700000000001</v>
      </c>
      <c r="E378">
        <f t="shared" si="19"/>
        <v>740.39343420399996</v>
      </c>
      <c r="F378">
        <f t="shared" si="20"/>
        <v>1.2518305602000002</v>
      </c>
      <c r="H378">
        <f t="shared" si="22"/>
        <v>1.3441900100470456</v>
      </c>
    </row>
    <row r="379" spans="1:8" x14ac:dyDescent="0.25">
      <c r="A379">
        <v>0.73592400000000002</v>
      </c>
      <c r="B379">
        <f t="shared" si="21"/>
        <v>735.92399999999998</v>
      </c>
      <c r="C379">
        <v>1.2173400000000001</v>
      </c>
      <c r="D379">
        <v>1.2173400000000001</v>
      </c>
      <c r="E379">
        <f t="shared" si="19"/>
        <v>742.37363793600002</v>
      </c>
      <c r="F379">
        <f t="shared" si="20"/>
        <v>1.2140044884000001</v>
      </c>
      <c r="H379">
        <f t="shared" si="22"/>
        <v>1.3727317234154393</v>
      </c>
    </row>
    <row r="380" spans="1:8" x14ac:dyDescent="0.25">
      <c r="A380">
        <v>0.73788600000000004</v>
      </c>
      <c r="B380">
        <f t="shared" si="21"/>
        <v>737.88600000000008</v>
      </c>
      <c r="C380">
        <v>1.3686799999999999</v>
      </c>
      <c r="D380">
        <v>1.3686799999999999</v>
      </c>
      <c r="E380">
        <f t="shared" si="19"/>
        <v>744.35283290400002</v>
      </c>
      <c r="F380">
        <f t="shared" si="20"/>
        <v>1.3649298167999999</v>
      </c>
      <c r="H380">
        <f t="shared" si="22"/>
        <v>1.4012137836828173</v>
      </c>
    </row>
    <row r="381" spans="1:8" x14ac:dyDescent="0.25">
      <c r="A381">
        <v>0.73984899999999998</v>
      </c>
      <c r="B381">
        <f t="shared" si="21"/>
        <v>739.84899999999993</v>
      </c>
      <c r="C381">
        <v>1.51938</v>
      </c>
      <c r="D381">
        <v>1.51938</v>
      </c>
      <c r="E381">
        <f t="shared" si="19"/>
        <v>746.33303663599997</v>
      </c>
      <c r="F381">
        <f t="shared" si="20"/>
        <v>1.5152168988000001</v>
      </c>
      <c r="H381">
        <f t="shared" si="22"/>
        <v>1.4296544590112019</v>
      </c>
    </row>
    <row r="382" spans="1:8" x14ac:dyDescent="0.25">
      <c r="A382">
        <v>0.741811</v>
      </c>
      <c r="B382">
        <f t="shared" si="21"/>
        <v>741.81100000000004</v>
      </c>
      <c r="C382">
        <v>1.6184499999999999</v>
      </c>
      <c r="D382">
        <v>1.6184499999999999</v>
      </c>
      <c r="E382">
        <f t="shared" si="19"/>
        <v>748.31223160399998</v>
      </c>
      <c r="F382">
        <f t="shared" si="20"/>
        <v>1.6140154470000001</v>
      </c>
      <c r="H382">
        <f t="shared" si="22"/>
        <v>1.4580140355327644</v>
      </c>
    </row>
    <row r="383" spans="1:8" x14ac:dyDescent="0.25">
      <c r="A383">
        <v>0.74377400000000005</v>
      </c>
      <c r="B383">
        <f t="shared" si="21"/>
        <v>743.774</v>
      </c>
      <c r="C383">
        <v>1.60426</v>
      </c>
      <c r="D383">
        <v>1.60426</v>
      </c>
      <c r="E383">
        <f t="shared" si="19"/>
        <v>750.29243533600004</v>
      </c>
      <c r="F383">
        <f t="shared" si="20"/>
        <v>1.5998643276</v>
      </c>
      <c r="H383">
        <f t="shared" si="22"/>
        <v>1.4863107028494478</v>
      </c>
    </row>
    <row r="384" spans="1:8" x14ac:dyDescent="0.25">
      <c r="A384">
        <v>0.74573599999999995</v>
      </c>
      <c r="B384">
        <f t="shared" si="21"/>
        <v>745.73599999999999</v>
      </c>
      <c r="C384">
        <v>1.4376500000000001</v>
      </c>
      <c r="D384">
        <v>1.4376500000000001</v>
      </c>
      <c r="E384">
        <f t="shared" si="19"/>
        <v>752.27163030400004</v>
      </c>
      <c r="F384">
        <f t="shared" si="20"/>
        <v>1.4337108390000002</v>
      </c>
      <c r="H384">
        <f t="shared" si="22"/>
        <v>1.5145049481827093</v>
      </c>
    </row>
    <row r="385" spans="1:8" x14ac:dyDescent="0.25">
      <c r="A385">
        <v>0.747699</v>
      </c>
      <c r="B385">
        <f t="shared" si="21"/>
        <v>747.69899999999996</v>
      </c>
      <c r="C385">
        <v>1.3455900000000001</v>
      </c>
      <c r="D385">
        <v>1.3455900000000001</v>
      </c>
      <c r="E385">
        <f t="shared" si="19"/>
        <v>754.25183403599999</v>
      </c>
      <c r="F385">
        <f t="shared" si="20"/>
        <v>1.3419030834000001</v>
      </c>
      <c r="H385">
        <f t="shared" si="22"/>
        <v>1.5426148550924093</v>
      </c>
    </row>
    <row r="386" spans="1:8" x14ac:dyDescent="0.25">
      <c r="A386">
        <v>0.74966100000000002</v>
      </c>
      <c r="B386">
        <f t="shared" si="21"/>
        <v>749.66100000000006</v>
      </c>
      <c r="C386">
        <v>1.4596499999999999</v>
      </c>
      <c r="D386">
        <v>1.4596499999999999</v>
      </c>
      <c r="E386">
        <f t="shared" si="19"/>
        <v>756.23102900400011</v>
      </c>
      <c r="F386">
        <f t="shared" si="20"/>
        <v>1.455650559</v>
      </c>
      <c r="H386">
        <f t="shared" si="22"/>
        <v>1.5706011715877017</v>
      </c>
    </row>
    <row r="387" spans="1:8" x14ac:dyDescent="0.25">
      <c r="A387">
        <v>0.75162300000000004</v>
      </c>
      <c r="B387">
        <f t="shared" si="21"/>
        <v>751.62300000000005</v>
      </c>
      <c r="C387">
        <v>1.61765</v>
      </c>
      <c r="D387">
        <v>1.61765</v>
      </c>
      <c r="E387">
        <f t="shared" si="19"/>
        <v>758.21022397199999</v>
      </c>
      <c r="F387">
        <f t="shared" si="20"/>
        <v>1.6132176390000001</v>
      </c>
      <c r="H387">
        <f t="shared" si="22"/>
        <v>1.5984676770920285</v>
      </c>
    </row>
    <row r="388" spans="1:8" x14ac:dyDescent="0.25">
      <c r="A388">
        <v>0.75358599999999998</v>
      </c>
      <c r="B388">
        <f t="shared" si="21"/>
        <v>753.58600000000001</v>
      </c>
      <c r="C388">
        <v>1.7096100000000001</v>
      </c>
      <c r="D388">
        <v>1.7096100000000001</v>
      </c>
      <c r="E388">
        <f t="shared" ref="E388:E417" si="23">(B388*$E$2-$F$3)*COS($F$4)+$F$3</f>
        <v>760.19042770400006</v>
      </c>
      <c r="F388">
        <f t="shared" ref="F388:F417" si="24">C388*$F$2</f>
        <v>1.7049256686000001</v>
      </c>
      <c r="H388">
        <f t="shared" si="22"/>
        <v>1.6262179520242777</v>
      </c>
    </row>
    <row r="389" spans="1:8" x14ac:dyDescent="0.25">
      <c r="A389">
        <v>0.755548</v>
      </c>
      <c r="B389">
        <f t="shared" ref="B389:B452" si="25">A389*1000</f>
        <v>755.548</v>
      </c>
      <c r="C389">
        <v>1.74884</v>
      </c>
      <c r="D389">
        <v>1.74884</v>
      </c>
      <c r="E389">
        <f t="shared" si="23"/>
        <v>762.16962267199995</v>
      </c>
      <c r="F389">
        <f t="shared" si="24"/>
        <v>1.7440481783999999</v>
      </c>
      <c r="H389">
        <f t="shared" si="22"/>
        <v>1.6538132465749498</v>
      </c>
    </row>
    <row r="390" spans="1:8" x14ac:dyDescent="0.25">
      <c r="A390">
        <v>0.75751100000000005</v>
      </c>
      <c r="B390">
        <f t="shared" si="25"/>
        <v>757.51100000000008</v>
      </c>
      <c r="C390">
        <v>1.6930000000000001</v>
      </c>
      <c r="D390">
        <v>1.6930000000000001</v>
      </c>
      <c r="E390">
        <f t="shared" si="23"/>
        <v>764.14982640400012</v>
      </c>
      <c r="F390">
        <f t="shared" si="24"/>
        <v>1.68836118</v>
      </c>
      <c r="H390">
        <f t="shared" si="22"/>
        <v>1.6812712601417479</v>
      </c>
    </row>
    <row r="391" spans="1:8" x14ac:dyDescent="0.25">
      <c r="A391">
        <v>0.75947299999999995</v>
      </c>
      <c r="B391">
        <f t="shared" si="25"/>
        <v>759.47299999999996</v>
      </c>
      <c r="C391">
        <v>1.56504</v>
      </c>
      <c r="D391">
        <v>1.56504</v>
      </c>
      <c r="E391">
        <f t="shared" si="23"/>
        <v>766.1290213719999</v>
      </c>
      <c r="F391">
        <f t="shared" si="24"/>
        <v>1.5607517904000001</v>
      </c>
      <c r="H391">
        <f t="shared" si="22"/>
        <v>1.708553651021834</v>
      </c>
    </row>
    <row r="392" spans="1:8" x14ac:dyDescent="0.25">
      <c r="A392">
        <v>0.761436</v>
      </c>
      <c r="B392">
        <f t="shared" si="25"/>
        <v>761.43600000000004</v>
      </c>
      <c r="C392">
        <v>1.5337499999999999</v>
      </c>
      <c r="D392">
        <v>1.5337499999999999</v>
      </c>
      <c r="E392">
        <f t="shared" si="23"/>
        <v>768.10922510400007</v>
      </c>
      <c r="F392">
        <f t="shared" si="24"/>
        <v>1.5295475249999999</v>
      </c>
      <c r="H392">
        <f t="shared" si="22"/>
        <v>1.7356779179190436</v>
      </c>
    </row>
    <row r="393" spans="1:8" x14ac:dyDescent="0.25">
      <c r="A393">
        <v>0.76339800000000002</v>
      </c>
      <c r="B393">
        <f t="shared" si="25"/>
        <v>763.39800000000002</v>
      </c>
      <c r="C393">
        <v>1.6635500000000001</v>
      </c>
      <c r="D393">
        <v>1.6635500000000001</v>
      </c>
      <c r="E393">
        <f t="shared" si="23"/>
        <v>770.08842007200008</v>
      </c>
      <c r="F393">
        <f t="shared" si="24"/>
        <v>1.6589918730000002</v>
      </c>
      <c r="H393">
        <f t="shared" si="22"/>
        <v>1.7626061851662806</v>
      </c>
    </row>
    <row r="394" spans="1:8" x14ac:dyDescent="0.25">
      <c r="A394">
        <v>0.76536099999999996</v>
      </c>
      <c r="B394">
        <f t="shared" si="25"/>
        <v>765.36099999999999</v>
      </c>
      <c r="C394">
        <v>1.81315</v>
      </c>
      <c r="D394">
        <v>1.81315</v>
      </c>
      <c r="E394">
        <f t="shared" si="23"/>
        <v>772.06862380400003</v>
      </c>
      <c r="F394">
        <f t="shared" si="24"/>
        <v>1.8081819690000001</v>
      </c>
      <c r="H394">
        <f t="shared" si="22"/>
        <v>1.7893557243353508</v>
      </c>
    </row>
    <row r="395" spans="1:8" x14ac:dyDescent="0.25">
      <c r="A395">
        <v>0.76732299999999998</v>
      </c>
      <c r="B395" s="4">
        <f t="shared" si="25"/>
        <v>767.32299999999998</v>
      </c>
      <c r="C395" s="4">
        <v>1.9113199999999999</v>
      </c>
      <c r="D395">
        <v>1.9113199999999999</v>
      </c>
      <c r="E395">
        <f t="shared" si="23"/>
        <v>774.04781877200003</v>
      </c>
      <c r="F395">
        <f t="shared" si="24"/>
        <v>1.9060829831999999</v>
      </c>
      <c r="H395">
        <f t="shared" si="22"/>
        <v>1.8158891830198598</v>
      </c>
    </row>
    <row r="396" spans="1:8" x14ac:dyDescent="0.25">
      <c r="A396">
        <v>0.76928600000000003</v>
      </c>
      <c r="B396">
        <f t="shared" si="25"/>
        <v>769.28600000000006</v>
      </c>
      <c r="C396">
        <v>1.94093</v>
      </c>
      <c r="D396">
        <v>1.94093</v>
      </c>
      <c r="E396">
        <f t="shared" si="23"/>
        <v>776.02802250400009</v>
      </c>
      <c r="F396">
        <f t="shared" si="24"/>
        <v>1.9356118518000001</v>
      </c>
      <c r="H396">
        <f t="shared" si="22"/>
        <v>1.8422235795646056</v>
      </c>
    </row>
    <row r="397" spans="1:8" x14ac:dyDescent="0.25">
      <c r="A397">
        <v>0.77124800000000004</v>
      </c>
      <c r="B397" s="5">
        <f t="shared" si="25"/>
        <v>771.24800000000005</v>
      </c>
      <c r="C397" s="5">
        <v>1.8734500000000001</v>
      </c>
      <c r="D397">
        <v>1.8734500000000001</v>
      </c>
      <c r="E397">
        <f t="shared" si="23"/>
        <v>778.00721747200009</v>
      </c>
      <c r="F397">
        <f t="shared" si="24"/>
        <v>1.8683167470000002</v>
      </c>
      <c r="H397">
        <f t="shared" si="22"/>
        <v>1.868322141258262</v>
      </c>
    </row>
    <row r="398" spans="1:8" x14ac:dyDescent="0.25">
      <c r="A398">
        <v>0.77321099999999998</v>
      </c>
      <c r="B398">
        <f t="shared" si="25"/>
        <v>773.21100000000001</v>
      </c>
      <c r="C398">
        <v>1.74637</v>
      </c>
      <c r="D398">
        <v>1.74637</v>
      </c>
      <c r="E398">
        <f t="shared" si="23"/>
        <v>779.98742120400004</v>
      </c>
      <c r="F398">
        <f t="shared" si="24"/>
        <v>1.7415849462000002</v>
      </c>
      <c r="H398">
        <f t="shared" si="22"/>
        <v>1.8942016075062338</v>
      </c>
    </row>
    <row r="399" spans="1:8" x14ac:dyDescent="0.25">
      <c r="A399">
        <v>0.775173</v>
      </c>
      <c r="B399" s="4">
        <f t="shared" si="25"/>
        <v>775.173</v>
      </c>
      <c r="C399" s="4">
        <v>1.67527</v>
      </c>
      <c r="D399">
        <v>1.67527</v>
      </c>
      <c r="E399">
        <f t="shared" si="23"/>
        <v>781.96661617200004</v>
      </c>
      <c r="F399">
        <f t="shared" si="24"/>
        <v>1.6706797602000001</v>
      </c>
      <c r="H399">
        <f t="shared" si="22"/>
        <v>1.9198258408508062</v>
      </c>
    </row>
    <row r="400" spans="1:8" x14ac:dyDescent="0.25">
      <c r="A400">
        <v>0.77713500000000002</v>
      </c>
      <c r="B400">
        <f t="shared" si="25"/>
        <v>777.13499999999999</v>
      </c>
      <c r="C400">
        <v>1.7585200000000001</v>
      </c>
      <c r="D400">
        <v>1.7585200000000001</v>
      </c>
      <c r="E400">
        <f t="shared" si="23"/>
        <v>783.94581113999993</v>
      </c>
      <c r="F400">
        <f t="shared" si="24"/>
        <v>1.7537016552000002</v>
      </c>
      <c r="H400">
        <f t="shared" si="22"/>
        <v>1.9451984102745907</v>
      </c>
    </row>
    <row r="401" spans="1:8" x14ac:dyDescent="0.25">
      <c r="A401">
        <v>0.77909799999999996</v>
      </c>
      <c r="B401">
        <f t="shared" si="25"/>
        <v>779.09799999999996</v>
      </c>
      <c r="C401">
        <v>1.8715200000000001</v>
      </c>
      <c r="D401">
        <v>1.8715200000000001</v>
      </c>
      <c r="E401">
        <f t="shared" si="23"/>
        <v>785.926014872</v>
      </c>
      <c r="F401">
        <f t="shared" si="24"/>
        <v>1.8663920352000001</v>
      </c>
      <c r="H401">
        <f t="shared" si="22"/>
        <v>1.9703224667495693</v>
      </c>
    </row>
    <row r="402" spans="1:8" x14ac:dyDescent="0.25">
      <c r="A402">
        <v>0.78105999999999998</v>
      </c>
      <c r="B402">
        <f t="shared" si="25"/>
        <v>781.06</v>
      </c>
      <c r="C402">
        <v>1.9636400000000001</v>
      </c>
      <c r="D402">
        <v>1.9636400000000001</v>
      </c>
      <c r="E402">
        <f t="shared" si="23"/>
        <v>787.90520983999988</v>
      </c>
      <c r="F402">
        <f t="shared" si="24"/>
        <v>1.9582596264000001</v>
      </c>
      <c r="H402">
        <f t="shared" si="22"/>
        <v>1.9951629276538712</v>
      </c>
    </row>
    <row r="403" spans="1:8" x14ac:dyDescent="0.25">
      <c r="A403">
        <v>0.78302300000000002</v>
      </c>
      <c r="B403">
        <f t="shared" si="25"/>
        <v>783.02300000000002</v>
      </c>
      <c r="C403">
        <v>1.9659899999999999</v>
      </c>
      <c r="D403">
        <v>1.9659899999999999</v>
      </c>
      <c r="E403">
        <f t="shared" si="23"/>
        <v>789.88541357200006</v>
      </c>
      <c r="F403">
        <f t="shared" si="24"/>
        <v>1.9606031874000001</v>
      </c>
      <c r="H403">
        <f t="shared" si="22"/>
        <v>2.0197357254572825</v>
      </c>
    </row>
    <row r="404" spans="1:8" x14ac:dyDescent="0.25">
      <c r="A404">
        <v>0.78498500000000004</v>
      </c>
      <c r="B404">
        <f t="shared" si="25"/>
        <v>784.98500000000001</v>
      </c>
      <c r="C404">
        <v>1.9757499999999999</v>
      </c>
      <c r="D404">
        <v>1.9757499999999999</v>
      </c>
      <c r="E404">
        <f t="shared" si="23"/>
        <v>791.86460854000006</v>
      </c>
      <c r="F404">
        <f t="shared" si="24"/>
        <v>1.970336445</v>
      </c>
      <c r="H404">
        <f t="shared" si="22"/>
        <v>2.0440065473021409</v>
      </c>
    </row>
    <row r="405" spans="1:8" x14ac:dyDescent="0.25">
      <c r="A405">
        <v>0.78694799999999998</v>
      </c>
      <c r="B405" s="6">
        <f t="shared" si="25"/>
        <v>786.94799999999998</v>
      </c>
      <c r="C405" s="6">
        <v>3.2050000000000001</v>
      </c>
      <c r="D405" s="6">
        <v>3.2050000000000001</v>
      </c>
      <c r="E405" s="6">
        <f t="shared" si="23"/>
        <v>793.84481227200001</v>
      </c>
      <c r="F405" s="6">
        <f t="shared" si="24"/>
        <v>3.1962183000000004</v>
      </c>
      <c r="H405">
        <f t="shared" si="22"/>
        <v>2.067990960296366</v>
      </c>
    </row>
    <row r="406" spans="1:8" x14ac:dyDescent="0.25">
      <c r="A406">
        <v>0.78891</v>
      </c>
      <c r="B406">
        <f t="shared" si="25"/>
        <v>788.91</v>
      </c>
      <c r="C406">
        <v>2.9626100000000002</v>
      </c>
      <c r="D406">
        <v>2.9626100000000002</v>
      </c>
      <c r="E406">
        <f t="shared" ref="E406:E414" si="26">(B406*$E$2-$F$3)*COS($F$4)+$F$3</f>
        <v>795.82400724000001</v>
      </c>
      <c r="F406">
        <f t="shared" ref="F406:F414" si="27">C406*$F$2</f>
        <v>2.9544924486000004</v>
      </c>
      <c r="H406">
        <f t="shared" ref="H406:H414" si="28">SUM($J$6*$J$4*COS($J$5+($J$5-PI())*(E406-$N$5)/($N$5-$N$4)),$N$6,$J$6*$J$4)</f>
        <v>2.0916554731885495</v>
      </c>
    </row>
    <row r="407" spans="1:8" x14ac:dyDescent="0.25">
      <c r="A407">
        <v>0.79087300000000005</v>
      </c>
      <c r="B407">
        <f t="shared" si="25"/>
        <v>790.87300000000005</v>
      </c>
      <c r="C407">
        <v>2.8075899999999998</v>
      </c>
      <c r="D407">
        <v>2.8075899999999998</v>
      </c>
      <c r="E407">
        <f t="shared" si="26"/>
        <v>797.80421097200008</v>
      </c>
      <c r="F407">
        <f t="shared" si="27"/>
        <v>2.7998972034</v>
      </c>
      <c r="H407">
        <f t="shared" si="28"/>
        <v>2.1150152642049749</v>
      </c>
    </row>
    <row r="408" spans="1:8" x14ac:dyDescent="0.25">
      <c r="A408">
        <v>0.79283499999999996</v>
      </c>
      <c r="B408">
        <f t="shared" si="25"/>
        <v>792.83499999999992</v>
      </c>
      <c r="C408">
        <v>2.7892299999999999</v>
      </c>
      <c r="D408">
        <v>2.7892299999999999</v>
      </c>
      <c r="E408">
        <f t="shared" si="26"/>
        <v>799.78340593999997</v>
      </c>
      <c r="F408">
        <f t="shared" si="27"/>
        <v>2.7815875098</v>
      </c>
      <c r="H408">
        <f t="shared" si="28"/>
        <v>2.1380377143011788</v>
      </c>
    </row>
    <row r="409" spans="1:8" x14ac:dyDescent="0.25">
      <c r="A409">
        <v>0.794798</v>
      </c>
      <c r="B409">
        <f t="shared" si="25"/>
        <v>794.798</v>
      </c>
      <c r="C409">
        <v>2.8427199999999999</v>
      </c>
      <c r="D409">
        <v>2.8427199999999999</v>
      </c>
      <c r="E409">
        <f t="shared" si="26"/>
        <v>801.76360967200003</v>
      </c>
      <c r="F409">
        <f t="shared" si="27"/>
        <v>2.8349309472000002</v>
      </c>
      <c r="H409">
        <f t="shared" si="28"/>
        <v>2.1607375898895871</v>
      </c>
    </row>
    <row r="410" spans="1:8" x14ac:dyDescent="0.25">
      <c r="A410">
        <v>0.79676000000000002</v>
      </c>
      <c r="B410">
        <f t="shared" si="25"/>
        <v>796.76</v>
      </c>
      <c r="C410">
        <v>2.9239000000000002</v>
      </c>
      <c r="D410">
        <v>2.9239000000000002</v>
      </c>
      <c r="E410">
        <f t="shared" si="26"/>
        <v>803.74280464000003</v>
      </c>
      <c r="F410">
        <f t="shared" si="27"/>
        <v>2.9158885140000002</v>
      </c>
      <c r="H410">
        <f t="shared" si="28"/>
        <v>2.1830831934156043</v>
      </c>
    </row>
    <row r="411" spans="1:8" x14ac:dyDescent="0.25">
      <c r="A411">
        <v>0.79872299999999996</v>
      </c>
      <c r="B411">
        <f t="shared" si="25"/>
        <v>798.72299999999996</v>
      </c>
      <c r="C411">
        <v>2.9664700000000002</v>
      </c>
      <c r="D411">
        <v>2.9664700000000002</v>
      </c>
      <c r="E411">
        <f t="shared" si="26"/>
        <v>805.72300837199998</v>
      </c>
      <c r="F411">
        <f t="shared" si="27"/>
        <v>2.9583418722000001</v>
      </c>
      <c r="H411">
        <f t="shared" si="28"/>
        <v>2.2050888571677616</v>
      </c>
    </row>
    <row r="412" spans="1:8" x14ac:dyDescent="0.25">
      <c r="A412">
        <v>0.80068499999999998</v>
      </c>
      <c r="B412">
        <f t="shared" si="25"/>
        <v>800.68499999999995</v>
      </c>
      <c r="C412">
        <v>2.98604</v>
      </c>
      <c r="D412">
        <v>2.98604</v>
      </c>
      <c r="E412">
        <f t="shared" si="26"/>
        <v>807.70220333999998</v>
      </c>
      <c r="F412">
        <f t="shared" si="27"/>
        <v>2.9778582504000002</v>
      </c>
      <c r="H412">
        <f t="shared" si="28"/>
        <v>2.226723852972003</v>
      </c>
    </row>
    <row r="413" spans="1:8" x14ac:dyDescent="0.25">
      <c r="A413">
        <v>0.80264800000000003</v>
      </c>
      <c r="B413">
        <f t="shared" si="25"/>
        <v>802.64800000000002</v>
      </c>
      <c r="C413">
        <v>2.98943</v>
      </c>
      <c r="D413">
        <v>2.98943</v>
      </c>
      <c r="E413">
        <f t="shared" si="26"/>
        <v>809.68240707200005</v>
      </c>
      <c r="F413">
        <f t="shared" si="27"/>
        <v>2.9812389617999999</v>
      </c>
      <c r="H413">
        <f t="shared" si="28"/>
        <v>2.2480020573388408</v>
      </c>
    </row>
    <row r="414" spans="1:8" x14ac:dyDescent="0.25">
      <c r="A414">
        <v>0.80461000000000005</v>
      </c>
      <c r="B414">
        <f t="shared" si="25"/>
        <v>804.61</v>
      </c>
      <c r="C414">
        <v>3.0110199999999998</v>
      </c>
      <c r="D414">
        <v>3.0110199999999998</v>
      </c>
      <c r="E414">
        <f t="shared" si="26"/>
        <v>811.66160204000005</v>
      </c>
      <c r="F414">
        <f t="shared" si="27"/>
        <v>3.0027698051999998</v>
      </c>
      <c r="H414">
        <f t="shared" si="28"/>
        <v>2.268893757900825</v>
      </c>
    </row>
    <row r="415" spans="1:8" x14ac:dyDescent="0.25">
      <c r="A415">
        <v>0.80657199999999996</v>
      </c>
      <c r="B415">
        <f t="shared" si="25"/>
        <v>806.572</v>
      </c>
      <c r="C415">
        <v>3.0243000000000002</v>
      </c>
      <c r="D415">
        <v>3.0243000000000002</v>
      </c>
      <c r="E415">
        <f t="shared" si="23"/>
        <v>813.64079700800005</v>
      </c>
      <c r="F415">
        <f t="shared" si="24"/>
        <v>3.0160134180000004</v>
      </c>
      <c r="H415">
        <f t="shared" si="22"/>
        <v>2.2894020007954134</v>
      </c>
    </row>
    <row r="416" spans="1:8" x14ac:dyDescent="0.25">
      <c r="A416">
        <v>0.808535</v>
      </c>
      <c r="B416">
        <f t="shared" si="25"/>
        <v>808.53499999999997</v>
      </c>
      <c r="C416">
        <v>3.0266600000000001</v>
      </c>
      <c r="D416">
        <v>3.0266600000000001</v>
      </c>
      <c r="E416">
        <f t="shared" si="23"/>
        <v>815.62100074</v>
      </c>
      <c r="F416">
        <f t="shared" si="24"/>
        <v>3.0183669516</v>
      </c>
      <c r="H416">
        <f t="shared" si="22"/>
        <v>2.3095291952416601</v>
      </c>
    </row>
    <row r="417" spans="1:8" x14ac:dyDescent="0.25">
      <c r="A417">
        <v>0.81049700000000002</v>
      </c>
      <c r="B417">
        <f t="shared" si="25"/>
        <v>810.49700000000007</v>
      </c>
      <c r="C417">
        <v>3.0263300000000002</v>
      </c>
      <c r="D417" s="5">
        <v>3.0263300000000002</v>
      </c>
      <c r="E417">
        <f t="shared" si="23"/>
        <v>817.60019570800011</v>
      </c>
      <c r="F417">
        <f t="shared" si="24"/>
        <v>3.0180378558000003</v>
      </c>
      <c r="H417">
        <f t="shared" si="22"/>
        <v>2.3292472361143979</v>
      </c>
    </row>
    <row r="418" spans="1:8" x14ac:dyDescent="0.25">
      <c r="A418">
        <v>0.81245999999999996</v>
      </c>
      <c r="B418">
        <f t="shared" si="25"/>
        <v>812.45999999999992</v>
      </c>
      <c r="C418">
        <v>3.02027</v>
      </c>
      <c r="D418">
        <v>3.02027</v>
      </c>
    </row>
    <row r="419" spans="1:8" x14ac:dyDescent="0.25">
      <c r="A419">
        <v>0.81442199999999998</v>
      </c>
      <c r="B419">
        <f t="shared" si="25"/>
        <v>814.42200000000003</v>
      </c>
      <c r="C419">
        <v>3.0141200000000001</v>
      </c>
      <c r="D419">
        <v>3.0141200000000001</v>
      </c>
    </row>
    <row r="420" spans="1:8" x14ac:dyDescent="0.25">
      <c r="A420">
        <v>0.81638500000000003</v>
      </c>
      <c r="B420">
        <f t="shared" si="25"/>
        <v>816.38499999999999</v>
      </c>
      <c r="C420">
        <v>3.0008300000000001</v>
      </c>
      <c r="D420">
        <v>3.0008300000000001</v>
      </c>
    </row>
    <row r="421" spans="1:8" x14ac:dyDescent="0.25">
      <c r="A421">
        <v>0.81834700000000005</v>
      </c>
      <c r="B421">
        <f t="shared" si="25"/>
        <v>818.34700000000009</v>
      </c>
      <c r="C421">
        <v>2.9994900000000002</v>
      </c>
      <c r="D421">
        <v>2.9994900000000002</v>
      </c>
    </row>
    <row r="422" spans="1:8" x14ac:dyDescent="0.25">
      <c r="A422">
        <v>0.82030999999999998</v>
      </c>
      <c r="B422">
        <f t="shared" si="25"/>
        <v>820.31</v>
      </c>
      <c r="C422">
        <v>2.93085</v>
      </c>
      <c r="D422">
        <v>2.93085</v>
      </c>
    </row>
    <row r="423" spans="1:8" x14ac:dyDescent="0.25">
      <c r="A423">
        <v>0.822272</v>
      </c>
      <c r="B423">
        <f t="shared" si="25"/>
        <v>822.27200000000005</v>
      </c>
      <c r="C423">
        <v>2.4011300000000002</v>
      </c>
      <c r="D423">
        <v>2.4011300000000002</v>
      </c>
    </row>
    <row r="424" spans="1:8" x14ac:dyDescent="0.25">
      <c r="A424">
        <v>0.82423500000000005</v>
      </c>
      <c r="B424">
        <f t="shared" si="25"/>
        <v>824.23500000000001</v>
      </c>
      <c r="C424">
        <v>2.46326</v>
      </c>
      <c r="D424">
        <v>2.46326</v>
      </c>
    </row>
    <row r="425" spans="1:8" x14ac:dyDescent="0.25">
      <c r="A425">
        <v>0.82619699999999996</v>
      </c>
      <c r="B425">
        <f t="shared" si="25"/>
        <v>826.197</v>
      </c>
      <c r="C425">
        <v>4.39419</v>
      </c>
      <c r="D425">
        <v>4.39419</v>
      </c>
    </row>
    <row r="426" spans="1:8" x14ac:dyDescent="0.25">
      <c r="A426">
        <v>0.82816000000000001</v>
      </c>
      <c r="B426">
        <f t="shared" si="25"/>
        <v>828.16</v>
      </c>
      <c r="C426">
        <v>4.7333800000000004</v>
      </c>
      <c r="D426">
        <v>4.7333800000000004</v>
      </c>
    </row>
    <row r="427" spans="1:8" x14ac:dyDescent="0.25">
      <c r="A427">
        <v>0.83012200000000003</v>
      </c>
      <c r="B427">
        <f t="shared" si="25"/>
        <v>830.12200000000007</v>
      </c>
      <c r="C427">
        <v>4.5421500000000004</v>
      </c>
      <c r="D427">
        <v>4.5421500000000004</v>
      </c>
    </row>
    <row r="428" spans="1:8" x14ac:dyDescent="0.25">
      <c r="A428">
        <v>0.83208400000000005</v>
      </c>
      <c r="B428">
        <f t="shared" si="25"/>
        <v>832.08400000000006</v>
      </c>
      <c r="C428">
        <v>3.1239499999999998</v>
      </c>
      <c r="D428">
        <v>3.1239499999999998</v>
      </c>
    </row>
    <row r="429" spans="1:8" x14ac:dyDescent="0.25">
      <c r="A429">
        <v>0.83404699999999998</v>
      </c>
      <c r="B429">
        <f t="shared" si="25"/>
        <v>834.04700000000003</v>
      </c>
      <c r="C429">
        <v>2.7556500000000002</v>
      </c>
      <c r="D429">
        <v>2.7556500000000002</v>
      </c>
    </row>
    <row r="430" spans="1:8" x14ac:dyDescent="0.25">
      <c r="A430">
        <v>0.836009</v>
      </c>
      <c r="B430">
        <f t="shared" si="25"/>
        <v>836.00900000000001</v>
      </c>
      <c r="C430">
        <v>2.7490299999999999</v>
      </c>
      <c r="D430">
        <v>2.7490299999999999</v>
      </c>
    </row>
    <row r="431" spans="1:8" x14ac:dyDescent="0.25">
      <c r="A431">
        <v>0.83797200000000005</v>
      </c>
      <c r="B431">
        <f t="shared" si="25"/>
        <v>837.97200000000009</v>
      </c>
      <c r="C431">
        <v>2.7498</v>
      </c>
      <c r="D431">
        <v>2.7498</v>
      </c>
    </row>
    <row r="432" spans="1:8" x14ac:dyDescent="0.25">
      <c r="A432">
        <v>0.83993399999999996</v>
      </c>
      <c r="B432">
        <f t="shared" si="25"/>
        <v>839.93399999999997</v>
      </c>
      <c r="C432">
        <v>2.7586400000000002</v>
      </c>
      <c r="D432">
        <v>2.7586400000000002</v>
      </c>
    </row>
    <row r="433" spans="1:4" x14ac:dyDescent="0.25">
      <c r="A433">
        <v>0.84189700000000001</v>
      </c>
      <c r="B433">
        <f t="shared" si="25"/>
        <v>841.89700000000005</v>
      </c>
      <c r="C433">
        <v>2.7677800000000001</v>
      </c>
      <c r="D433">
        <v>2.7677800000000001</v>
      </c>
    </row>
    <row r="434" spans="1:4" x14ac:dyDescent="0.25">
      <c r="A434">
        <v>0.84385900000000003</v>
      </c>
      <c r="B434">
        <f t="shared" si="25"/>
        <v>843.85900000000004</v>
      </c>
      <c r="C434">
        <v>2.7659099999999999</v>
      </c>
      <c r="D434">
        <v>2.7659099999999999</v>
      </c>
    </row>
    <row r="435" spans="1:4" x14ac:dyDescent="0.25">
      <c r="A435">
        <v>0.84582199999999996</v>
      </c>
      <c r="B435">
        <f t="shared" si="25"/>
        <v>845.822</v>
      </c>
      <c r="C435">
        <v>2.7614000000000001</v>
      </c>
      <c r="D435">
        <v>2.7614000000000001</v>
      </c>
    </row>
    <row r="436" spans="1:4" x14ac:dyDescent="0.25">
      <c r="A436">
        <v>0.84778399999999998</v>
      </c>
      <c r="B436">
        <f t="shared" si="25"/>
        <v>847.78399999999999</v>
      </c>
      <c r="C436">
        <v>2.7560099999999998</v>
      </c>
      <c r="D436">
        <v>2.7560099999999998</v>
      </c>
    </row>
    <row r="437" spans="1:4" x14ac:dyDescent="0.25">
      <c r="A437">
        <v>0.84974700000000003</v>
      </c>
      <c r="B437">
        <f t="shared" si="25"/>
        <v>849.74700000000007</v>
      </c>
      <c r="C437">
        <v>2.75806</v>
      </c>
      <c r="D437">
        <v>2.75806</v>
      </c>
    </row>
    <row r="438" spans="1:4" x14ac:dyDescent="0.25">
      <c r="A438">
        <v>0.85170900000000005</v>
      </c>
      <c r="B438">
        <f t="shared" si="25"/>
        <v>851.70900000000006</v>
      </c>
      <c r="C438">
        <v>2.7549600000000001</v>
      </c>
      <c r="D438">
        <v>2.7549600000000001</v>
      </c>
    </row>
    <row r="439" spans="1:4" x14ac:dyDescent="0.25">
      <c r="A439">
        <v>0.85367199999999999</v>
      </c>
      <c r="B439">
        <f t="shared" si="25"/>
        <v>853.67200000000003</v>
      </c>
      <c r="C439">
        <v>2.75726</v>
      </c>
      <c r="D439">
        <v>2.75726</v>
      </c>
    </row>
    <row r="440" spans="1:4" x14ac:dyDescent="0.25">
      <c r="A440">
        <v>0.85563400000000001</v>
      </c>
      <c r="B440">
        <f t="shared" si="25"/>
        <v>855.63400000000001</v>
      </c>
      <c r="C440">
        <v>2.7604099999999998</v>
      </c>
      <c r="D440">
        <v>2.7604099999999998</v>
      </c>
    </row>
    <row r="441" spans="1:4" x14ac:dyDescent="0.25">
      <c r="A441">
        <v>0.85759600000000002</v>
      </c>
      <c r="B441">
        <f t="shared" si="25"/>
        <v>857.596</v>
      </c>
      <c r="C441">
        <v>2.76302</v>
      </c>
      <c r="D441">
        <v>2.76302</v>
      </c>
    </row>
    <row r="442" spans="1:4" x14ac:dyDescent="0.25">
      <c r="A442">
        <v>0.85955899999999996</v>
      </c>
      <c r="B442">
        <f t="shared" si="25"/>
        <v>859.55899999999997</v>
      </c>
      <c r="C442">
        <v>2.7615500000000002</v>
      </c>
      <c r="D442">
        <v>2.7615500000000002</v>
      </c>
    </row>
    <row r="443" spans="1:4" x14ac:dyDescent="0.25">
      <c r="A443">
        <v>0.86152099999999998</v>
      </c>
      <c r="B443">
        <f t="shared" si="25"/>
        <v>861.52099999999996</v>
      </c>
      <c r="C443">
        <v>2.7633700000000001</v>
      </c>
      <c r="D443">
        <v>2.7633700000000001</v>
      </c>
    </row>
    <row r="444" spans="1:4" x14ac:dyDescent="0.25">
      <c r="A444">
        <v>0.86348400000000003</v>
      </c>
      <c r="B444">
        <f t="shared" si="25"/>
        <v>863.48400000000004</v>
      </c>
      <c r="C444">
        <v>2.76437</v>
      </c>
      <c r="D444">
        <v>2.76437</v>
      </c>
    </row>
    <row r="445" spans="1:4" x14ac:dyDescent="0.25">
      <c r="A445">
        <v>0.86544600000000005</v>
      </c>
      <c r="B445">
        <f t="shared" si="25"/>
        <v>865.44600000000003</v>
      </c>
      <c r="C445">
        <v>2.7598799999999999</v>
      </c>
      <c r="D445">
        <v>2.7598799999999999</v>
      </c>
    </row>
    <row r="446" spans="1:4" x14ac:dyDescent="0.25">
      <c r="A446">
        <v>0.86740899999999999</v>
      </c>
      <c r="B446">
        <f t="shared" si="25"/>
        <v>867.40899999999999</v>
      </c>
      <c r="C446">
        <v>2.7552500000000002</v>
      </c>
      <c r="D446">
        <v>2.7552500000000002</v>
      </c>
    </row>
    <row r="447" spans="1:4" x14ac:dyDescent="0.25">
      <c r="A447">
        <v>0.869371</v>
      </c>
      <c r="B447">
        <f t="shared" si="25"/>
        <v>869.37099999999998</v>
      </c>
      <c r="C447">
        <v>2.7528600000000001</v>
      </c>
      <c r="D447">
        <v>2.7528600000000001</v>
      </c>
    </row>
    <row r="448" spans="1:4" x14ac:dyDescent="0.25">
      <c r="A448">
        <v>0.87133400000000005</v>
      </c>
      <c r="B448">
        <f t="shared" si="25"/>
        <v>871.33400000000006</v>
      </c>
      <c r="C448">
        <v>2.7441</v>
      </c>
      <c r="D448">
        <v>2.7441</v>
      </c>
    </row>
    <row r="449" spans="1:4" x14ac:dyDescent="0.25">
      <c r="A449">
        <v>0.87329599999999996</v>
      </c>
      <c r="B449">
        <f t="shared" si="25"/>
        <v>873.29599999999994</v>
      </c>
      <c r="C449">
        <v>2.7389700000000001</v>
      </c>
      <c r="D449">
        <v>2.7389700000000001</v>
      </c>
    </row>
    <row r="450" spans="1:4" x14ac:dyDescent="0.25">
      <c r="A450">
        <v>0.87525900000000001</v>
      </c>
      <c r="B450">
        <f t="shared" si="25"/>
        <v>875.25900000000001</v>
      </c>
      <c r="C450">
        <v>2.7294499999999999</v>
      </c>
      <c r="D450">
        <v>2.7294499999999999</v>
      </c>
    </row>
    <row r="451" spans="1:4" x14ac:dyDescent="0.25">
      <c r="A451">
        <v>0.87722100000000003</v>
      </c>
      <c r="B451">
        <f t="shared" si="25"/>
        <v>877.221</v>
      </c>
      <c r="C451">
        <v>2.7709199999999998</v>
      </c>
      <c r="D451">
        <v>2.7709199999999998</v>
      </c>
    </row>
    <row r="452" spans="1:4" x14ac:dyDescent="0.25">
      <c r="A452">
        <v>0.87918399999999997</v>
      </c>
      <c r="B452">
        <f t="shared" si="25"/>
        <v>879.18399999999997</v>
      </c>
      <c r="C452">
        <v>4.0743900000000002</v>
      </c>
      <c r="D452">
        <v>4.0743900000000002</v>
      </c>
    </row>
    <row r="453" spans="1:4" x14ac:dyDescent="0.25">
      <c r="A453">
        <v>0.88114599999999998</v>
      </c>
      <c r="B453">
        <f t="shared" ref="B453:B516" si="29">A453*1000</f>
        <v>881.14599999999996</v>
      </c>
      <c r="C453">
        <v>4.74078</v>
      </c>
      <c r="D453">
        <v>4.74078</v>
      </c>
    </row>
    <row r="454" spans="1:4" x14ac:dyDescent="0.25">
      <c r="A454">
        <v>0.88310900000000003</v>
      </c>
      <c r="B454">
        <f t="shared" si="29"/>
        <v>883.10900000000004</v>
      </c>
      <c r="C454">
        <v>4.4935700000000001</v>
      </c>
      <c r="D454">
        <v>4.4935700000000001</v>
      </c>
    </row>
    <row r="455" spans="1:4" x14ac:dyDescent="0.25">
      <c r="A455">
        <v>0.88507100000000005</v>
      </c>
      <c r="B455">
        <f t="shared" si="29"/>
        <v>885.07100000000003</v>
      </c>
      <c r="C455">
        <v>2.7642799999999998</v>
      </c>
      <c r="D455">
        <v>2.7642799999999998</v>
      </c>
    </row>
    <row r="456" spans="1:4" x14ac:dyDescent="0.25">
      <c r="A456">
        <v>0.88703299999999996</v>
      </c>
      <c r="B456">
        <f t="shared" si="29"/>
        <v>887.03300000000002</v>
      </c>
      <c r="C456">
        <v>2.91371</v>
      </c>
      <c r="D456">
        <v>2.91371</v>
      </c>
    </row>
    <row r="457" spans="1:4" x14ac:dyDescent="0.25">
      <c r="A457">
        <v>0.88899600000000001</v>
      </c>
      <c r="B457">
        <f t="shared" si="29"/>
        <v>888.99599999999998</v>
      </c>
      <c r="C457">
        <v>2.9767999999999999</v>
      </c>
      <c r="D457">
        <v>2.9767999999999999</v>
      </c>
    </row>
    <row r="458" spans="1:4" x14ac:dyDescent="0.25">
      <c r="A458">
        <v>0.89095800000000003</v>
      </c>
      <c r="B458">
        <f t="shared" si="29"/>
        <v>890.95800000000008</v>
      </c>
      <c r="C458">
        <v>2.0723099999999999</v>
      </c>
      <c r="D458">
        <v>2.0723099999999999</v>
      </c>
    </row>
    <row r="459" spans="1:4" x14ac:dyDescent="0.25">
      <c r="A459">
        <v>0.89292099999999996</v>
      </c>
      <c r="B459">
        <f t="shared" si="29"/>
        <v>892.92099999999994</v>
      </c>
      <c r="C459">
        <v>-0.16831099999999999</v>
      </c>
      <c r="D459">
        <v>-0.16831099999999999</v>
      </c>
    </row>
    <row r="460" spans="1:4" x14ac:dyDescent="0.25">
      <c r="A460">
        <v>0.89488299999999998</v>
      </c>
      <c r="B460">
        <f t="shared" si="29"/>
        <v>894.88300000000004</v>
      </c>
      <c r="C460">
        <v>-0.74663400000000002</v>
      </c>
      <c r="D460">
        <v>-0.74663400000000002</v>
      </c>
    </row>
    <row r="461" spans="1:4" x14ac:dyDescent="0.25">
      <c r="A461">
        <v>0.89684600000000003</v>
      </c>
      <c r="B461">
        <f t="shared" si="29"/>
        <v>896.846</v>
      </c>
      <c r="C461">
        <v>-0.77485400000000004</v>
      </c>
      <c r="D461">
        <v>-0.77485400000000004</v>
      </c>
    </row>
    <row r="462" spans="1:4" x14ac:dyDescent="0.25">
      <c r="A462">
        <v>0.89880800000000005</v>
      </c>
      <c r="B462">
        <f t="shared" si="29"/>
        <v>898.80800000000011</v>
      </c>
      <c r="C462">
        <v>-0.34408100000000003</v>
      </c>
      <c r="D462">
        <v>-0.34408100000000003</v>
      </c>
    </row>
    <row r="463" spans="1:4" x14ac:dyDescent="0.25">
      <c r="A463">
        <v>0.90077099999999999</v>
      </c>
      <c r="B463">
        <f t="shared" si="29"/>
        <v>900.77099999999996</v>
      </c>
      <c r="C463">
        <v>1.7784500000000002E-2</v>
      </c>
      <c r="D463">
        <v>1.7784500000000002E-2</v>
      </c>
    </row>
    <row r="464" spans="1:4" x14ac:dyDescent="0.25">
      <c r="A464">
        <v>0.90273300000000001</v>
      </c>
      <c r="B464">
        <f t="shared" si="29"/>
        <v>902.73300000000006</v>
      </c>
      <c r="C464">
        <v>5.8676800000000001E-3</v>
      </c>
      <c r="D464">
        <v>5.8676800000000001E-3</v>
      </c>
    </row>
    <row r="465" spans="1:4" x14ac:dyDescent="0.25">
      <c r="A465">
        <v>0.90469599999999994</v>
      </c>
      <c r="B465">
        <f t="shared" si="29"/>
        <v>904.69599999999991</v>
      </c>
      <c r="C465">
        <v>-3.2121799999999998E-3</v>
      </c>
      <c r="D465">
        <v>-3.2121799999999998E-3</v>
      </c>
    </row>
    <row r="466" spans="1:4" x14ac:dyDescent="0.25">
      <c r="A466">
        <v>0.90665799999999996</v>
      </c>
      <c r="B466">
        <f t="shared" si="29"/>
        <v>906.65800000000002</v>
      </c>
      <c r="C466">
        <v>-1.01314E-2</v>
      </c>
      <c r="D466">
        <v>-1.01314E-2</v>
      </c>
    </row>
    <row r="467" spans="1:4" x14ac:dyDescent="0.25">
      <c r="A467">
        <v>0.90862100000000001</v>
      </c>
      <c r="B467">
        <f t="shared" si="29"/>
        <v>908.62099999999998</v>
      </c>
      <c r="C467">
        <v>-8.5789400000000002E-3</v>
      </c>
      <c r="D467">
        <v>-8.5789400000000002E-3</v>
      </c>
    </row>
    <row r="468" spans="1:4" x14ac:dyDescent="0.25">
      <c r="A468">
        <v>0.91058300000000003</v>
      </c>
      <c r="B468">
        <f t="shared" si="29"/>
        <v>910.58300000000008</v>
      </c>
      <c r="C468">
        <v>-7.7149599999999999E-3</v>
      </c>
      <c r="D468">
        <v>-7.7149599999999999E-3</v>
      </c>
    </row>
    <row r="469" spans="1:4" x14ac:dyDescent="0.25">
      <c r="A469">
        <v>0.91254500000000005</v>
      </c>
      <c r="B469">
        <f t="shared" si="29"/>
        <v>912.54500000000007</v>
      </c>
      <c r="C469">
        <v>-1.34232E-2</v>
      </c>
      <c r="D469">
        <v>-1.34232E-2</v>
      </c>
    </row>
    <row r="470" spans="1:4" x14ac:dyDescent="0.25">
      <c r="A470">
        <v>0.91450799999999999</v>
      </c>
      <c r="B470">
        <f t="shared" si="29"/>
        <v>914.50800000000004</v>
      </c>
      <c r="C470">
        <v>-5.2838800000000003E-3</v>
      </c>
      <c r="D470">
        <v>-5.2838800000000003E-3</v>
      </c>
    </row>
    <row r="471" spans="1:4" x14ac:dyDescent="0.25">
      <c r="A471">
        <v>0.91647000000000001</v>
      </c>
      <c r="B471">
        <f t="shared" si="29"/>
        <v>916.47</v>
      </c>
      <c r="C471">
        <v>-8.92062E-4</v>
      </c>
      <c r="D471">
        <v>-8.92062E-4</v>
      </c>
    </row>
    <row r="472" spans="1:4" x14ac:dyDescent="0.25">
      <c r="A472">
        <v>0.91843300000000005</v>
      </c>
      <c r="B472">
        <f t="shared" si="29"/>
        <v>918.43300000000011</v>
      </c>
      <c r="C472">
        <v>1.1287800000000001E-2</v>
      </c>
      <c r="D472">
        <v>1.1287800000000001E-2</v>
      </c>
    </row>
    <row r="473" spans="1:4" x14ac:dyDescent="0.25">
      <c r="A473">
        <v>0.92039499999999996</v>
      </c>
      <c r="B473">
        <f t="shared" si="29"/>
        <v>920.39499999999998</v>
      </c>
      <c r="C473">
        <v>-1.05131E-3</v>
      </c>
      <c r="D473">
        <v>-1.05131E-3</v>
      </c>
    </row>
    <row r="474" spans="1:4" x14ac:dyDescent="0.25">
      <c r="A474">
        <v>0.92235800000000001</v>
      </c>
      <c r="B474">
        <f t="shared" si="29"/>
        <v>922.35800000000006</v>
      </c>
      <c r="C474">
        <v>-7.9265800000000008E-3</v>
      </c>
      <c r="D474">
        <v>-7.9265800000000008E-3</v>
      </c>
    </row>
    <row r="475" spans="1:4" x14ac:dyDescent="0.25">
      <c r="A475">
        <v>0.92432000000000003</v>
      </c>
      <c r="B475">
        <f t="shared" si="29"/>
        <v>924.32</v>
      </c>
      <c r="C475">
        <v>-1.8830199999999998E-2</v>
      </c>
      <c r="D475">
        <v>-1.8830199999999998E-2</v>
      </c>
    </row>
    <row r="476" spans="1:4" x14ac:dyDescent="0.25">
      <c r="A476">
        <v>0.92628299999999997</v>
      </c>
      <c r="B476">
        <f t="shared" si="29"/>
        <v>926.28300000000002</v>
      </c>
      <c r="C476">
        <v>-1.6306000000000001E-2</v>
      </c>
      <c r="D476">
        <v>-1.6306000000000001E-2</v>
      </c>
    </row>
    <row r="477" spans="1:4" x14ac:dyDescent="0.25">
      <c r="A477">
        <v>0.92824499999999999</v>
      </c>
      <c r="B477">
        <f t="shared" si="29"/>
        <v>928.245</v>
      </c>
      <c r="C477">
        <v>-1.6623700000000002E-2</v>
      </c>
      <c r="D477">
        <v>-1.6623700000000002E-2</v>
      </c>
    </row>
    <row r="478" spans="1:4" x14ac:dyDescent="0.25">
      <c r="A478">
        <v>0.93020800000000003</v>
      </c>
      <c r="B478">
        <f t="shared" si="29"/>
        <v>930.20800000000008</v>
      </c>
      <c r="C478">
        <v>-1.2720199999999999E-2</v>
      </c>
      <c r="D478">
        <v>-1.2720199999999999E-2</v>
      </c>
    </row>
    <row r="479" spans="1:4" x14ac:dyDescent="0.25">
      <c r="A479">
        <v>0.93217000000000005</v>
      </c>
      <c r="B479">
        <f t="shared" si="29"/>
        <v>932.17000000000007</v>
      </c>
      <c r="C479">
        <v>-1.8167200000000001E-2</v>
      </c>
      <c r="D479">
        <v>-1.8167200000000001E-2</v>
      </c>
    </row>
    <row r="480" spans="1:4" x14ac:dyDescent="0.25">
      <c r="A480">
        <v>0.93413299999999999</v>
      </c>
      <c r="B480">
        <f t="shared" si="29"/>
        <v>934.13300000000004</v>
      </c>
      <c r="C480">
        <v>-1.5294E-2</v>
      </c>
      <c r="D480">
        <v>-1.5294E-2</v>
      </c>
    </row>
    <row r="481" spans="1:4" x14ac:dyDescent="0.25">
      <c r="A481">
        <v>0.93609500000000001</v>
      </c>
      <c r="B481">
        <f t="shared" si="29"/>
        <v>936.09500000000003</v>
      </c>
      <c r="C481">
        <v>-2.3669899999999998E-3</v>
      </c>
      <c r="D481">
        <v>-2.3669899999999998E-3</v>
      </c>
    </row>
    <row r="482" spans="1:4" x14ac:dyDescent="0.25">
      <c r="A482">
        <v>0.93805700000000003</v>
      </c>
      <c r="B482">
        <f t="shared" si="29"/>
        <v>938.05700000000002</v>
      </c>
      <c r="C482">
        <v>-8.7466599999999999E-3</v>
      </c>
      <c r="D482">
        <v>-8.7466599999999999E-3</v>
      </c>
    </row>
    <row r="483" spans="1:4" x14ac:dyDescent="0.25">
      <c r="A483">
        <v>0.94001999999999997</v>
      </c>
      <c r="B483">
        <f t="shared" si="29"/>
        <v>940.02</v>
      </c>
      <c r="C483">
        <v>-6.0589499999999996E-3</v>
      </c>
      <c r="D483">
        <v>-6.0589499999999996E-3</v>
      </c>
    </row>
    <row r="484" spans="1:4" x14ac:dyDescent="0.25">
      <c r="A484">
        <v>0.94198199999999999</v>
      </c>
      <c r="B484">
        <f t="shared" si="29"/>
        <v>941.98199999999997</v>
      </c>
      <c r="C484">
        <v>-8.9962400000000008E-3</v>
      </c>
      <c r="D484">
        <v>-8.9962400000000008E-3</v>
      </c>
    </row>
    <row r="485" spans="1:4" x14ac:dyDescent="0.25">
      <c r="A485">
        <v>0.94394500000000003</v>
      </c>
      <c r="B485">
        <f t="shared" si="29"/>
        <v>943.94500000000005</v>
      </c>
      <c r="C485">
        <v>6.2085600000000001E-3</v>
      </c>
      <c r="D485">
        <v>6.2085600000000001E-3</v>
      </c>
    </row>
    <row r="486" spans="1:4" x14ac:dyDescent="0.25">
      <c r="A486">
        <v>0.94590700000000005</v>
      </c>
      <c r="B486">
        <f t="shared" si="29"/>
        <v>945.90700000000004</v>
      </c>
      <c r="C486">
        <v>5.5954899999999998E-3</v>
      </c>
      <c r="D486">
        <v>5.5954899999999998E-3</v>
      </c>
    </row>
    <row r="487" spans="1:4" x14ac:dyDescent="0.25">
      <c r="A487">
        <v>0.94786999999999999</v>
      </c>
      <c r="B487">
        <f t="shared" si="29"/>
        <v>947.87</v>
      </c>
      <c r="C487">
        <v>-1.32373E-3</v>
      </c>
      <c r="D487">
        <v>-1.32373E-3</v>
      </c>
    </row>
    <row r="488" spans="1:4" x14ac:dyDescent="0.25">
      <c r="A488">
        <v>0.94983200000000001</v>
      </c>
      <c r="B488">
        <f t="shared" si="29"/>
        <v>949.83199999999999</v>
      </c>
      <c r="C488">
        <v>-4.96658E-3</v>
      </c>
      <c r="D488">
        <v>-4.96658E-3</v>
      </c>
    </row>
    <row r="489" spans="1:4" x14ac:dyDescent="0.25">
      <c r="A489">
        <v>0.95179499999999995</v>
      </c>
      <c r="B489">
        <f t="shared" si="29"/>
        <v>951.79499999999996</v>
      </c>
      <c r="C489">
        <v>-1.0274500000000001E-2</v>
      </c>
      <c r="D489">
        <v>-1.0274500000000001E-2</v>
      </c>
    </row>
    <row r="490" spans="1:4" x14ac:dyDescent="0.25">
      <c r="A490">
        <v>0.95375699999999997</v>
      </c>
      <c r="B490">
        <f t="shared" si="29"/>
        <v>953.75699999999995</v>
      </c>
      <c r="C490">
        <v>-2.4329600000000001E-3</v>
      </c>
      <c r="D490">
        <v>-2.4329600000000001E-3</v>
      </c>
    </row>
    <row r="491" spans="1:4" x14ac:dyDescent="0.25">
      <c r="A491">
        <v>0.95572000000000001</v>
      </c>
      <c r="B491">
        <f t="shared" si="29"/>
        <v>955.72</v>
      </c>
      <c r="C491">
        <v>2.57165E-3</v>
      </c>
      <c r="D491">
        <v>2.57165E-3</v>
      </c>
    </row>
    <row r="492" spans="1:4" x14ac:dyDescent="0.25">
      <c r="A492">
        <v>0.95768200000000003</v>
      </c>
      <c r="B492">
        <f t="shared" si="29"/>
        <v>957.68200000000002</v>
      </c>
      <c r="C492">
        <v>-4.4354599999999996E-3</v>
      </c>
      <c r="D492">
        <v>-4.4354599999999996E-3</v>
      </c>
    </row>
    <row r="493" spans="1:4" x14ac:dyDescent="0.25">
      <c r="A493">
        <v>0.95964499999999997</v>
      </c>
      <c r="B493">
        <f t="shared" si="29"/>
        <v>959.64499999999998</v>
      </c>
      <c r="C493">
        <v>1.4038399999999999E-2</v>
      </c>
      <c r="D493">
        <v>1.4038399999999999E-2</v>
      </c>
    </row>
    <row r="494" spans="1:4" x14ac:dyDescent="0.25">
      <c r="A494">
        <v>0.96160699999999999</v>
      </c>
      <c r="B494">
        <f t="shared" si="29"/>
        <v>961.60699999999997</v>
      </c>
      <c r="C494">
        <v>-6.1528300000000001E-2</v>
      </c>
      <c r="D494">
        <v>-6.1528300000000001E-2</v>
      </c>
    </row>
    <row r="495" spans="1:4" x14ac:dyDescent="0.25">
      <c r="A495">
        <v>0.96357000000000004</v>
      </c>
      <c r="B495">
        <f t="shared" si="29"/>
        <v>963.57</v>
      </c>
      <c r="C495">
        <v>-0.76886500000000002</v>
      </c>
      <c r="D495">
        <v>-0.76886500000000002</v>
      </c>
    </row>
    <row r="496" spans="1:4" x14ac:dyDescent="0.25">
      <c r="A496">
        <v>0.96553199999999995</v>
      </c>
      <c r="B496">
        <f t="shared" si="29"/>
        <v>965.53199999999993</v>
      </c>
      <c r="C496">
        <v>-0.77057399999999998</v>
      </c>
      <c r="D496">
        <v>-0.77057399999999998</v>
      </c>
    </row>
    <row r="497" spans="1:4" x14ac:dyDescent="0.25">
      <c r="A497">
        <v>0.96749399999999997</v>
      </c>
      <c r="B497">
        <f t="shared" si="29"/>
        <v>967.49399999999991</v>
      </c>
      <c r="C497">
        <v>-0.71357000000000004</v>
      </c>
      <c r="D497">
        <v>-0.71357000000000004</v>
      </c>
    </row>
    <row r="498" spans="1:4" x14ac:dyDescent="0.25">
      <c r="A498">
        <v>0.96945700000000001</v>
      </c>
      <c r="B498">
        <f t="shared" si="29"/>
        <v>969.45699999999999</v>
      </c>
      <c r="C498">
        <v>-0.71793300000000004</v>
      </c>
      <c r="D498">
        <v>-0.71793300000000004</v>
      </c>
    </row>
    <row r="499" spans="1:4" x14ac:dyDescent="0.25">
      <c r="A499">
        <v>0.97141900000000003</v>
      </c>
      <c r="B499">
        <f t="shared" si="29"/>
        <v>971.41899999999998</v>
      </c>
      <c r="C499">
        <v>-0.71845800000000004</v>
      </c>
      <c r="D499">
        <v>-0.71845800000000004</v>
      </c>
    </row>
    <row r="500" spans="1:4" x14ac:dyDescent="0.25">
      <c r="A500">
        <v>0.97338199999999997</v>
      </c>
      <c r="B500">
        <f t="shared" si="29"/>
        <v>973.38199999999995</v>
      </c>
      <c r="C500">
        <v>-0.71429799999999999</v>
      </c>
      <c r="D500">
        <v>-0.71429799999999999</v>
      </c>
    </row>
    <row r="501" spans="1:4" x14ac:dyDescent="0.25">
      <c r="A501">
        <v>0.97534399999999999</v>
      </c>
      <c r="B501">
        <f t="shared" si="29"/>
        <v>975.34399999999994</v>
      </c>
      <c r="C501">
        <v>-0.70553399999999999</v>
      </c>
      <c r="D501">
        <v>-0.70553399999999999</v>
      </c>
    </row>
    <row r="502" spans="1:4" x14ac:dyDescent="0.25">
      <c r="A502">
        <v>0.97730700000000004</v>
      </c>
      <c r="B502">
        <f t="shared" si="29"/>
        <v>977.30700000000002</v>
      </c>
      <c r="C502">
        <v>-0.70878099999999999</v>
      </c>
      <c r="D502">
        <v>-0.70878099999999999</v>
      </c>
    </row>
    <row r="503" spans="1:4" x14ac:dyDescent="0.25">
      <c r="A503">
        <v>0.97926899999999995</v>
      </c>
      <c r="B503">
        <f t="shared" si="29"/>
        <v>979.26899999999989</v>
      </c>
      <c r="C503">
        <v>-0.70949499999999999</v>
      </c>
      <c r="D503">
        <v>-0.70949499999999999</v>
      </c>
    </row>
    <row r="504" spans="1:4" x14ac:dyDescent="0.25">
      <c r="A504">
        <v>0.98123199999999999</v>
      </c>
      <c r="B504">
        <f t="shared" si="29"/>
        <v>981.23199999999997</v>
      </c>
      <c r="C504">
        <v>-0.71394100000000005</v>
      </c>
      <c r="D504">
        <v>-0.71394100000000005</v>
      </c>
    </row>
    <row r="505" spans="1:4" x14ac:dyDescent="0.25">
      <c r="A505">
        <v>0.98319400000000001</v>
      </c>
      <c r="B505">
        <f t="shared" si="29"/>
        <v>983.19399999999996</v>
      </c>
      <c r="C505">
        <v>-0.71106499999999995</v>
      </c>
      <c r="D505">
        <v>-0.71106499999999995</v>
      </c>
    </row>
    <row r="506" spans="1:4" x14ac:dyDescent="0.25">
      <c r="A506">
        <v>0.98515699999999995</v>
      </c>
      <c r="B506">
        <f t="shared" si="29"/>
        <v>985.15699999999993</v>
      </c>
      <c r="C506">
        <v>-0.710704</v>
      </c>
      <c r="D506">
        <v>-0.710704</v>
      </c>
    </row>
    <row r="507" spans="1:4" x14ac:dyDescent="0.25">
      <c r="A507">
        <v>0.98711899999999997</v>
      </c>
      <c r="B507">
        <f t="shared" si="29"/>
        <v>987.11899999999991</v>
      </c>
      <c r="C507">
        <v>-0.71807200000000004</v>
      </c>
      <c r="D507">
        <v>-0.71807200000000004</v>
      </c>
    </row>
    <row r="508" spans="1:4" x14ac:dyDescent="0.25">
      <c r="A508">
        <v>0.98908200000000002</v>
      </c>
      <c r="B508">
        <f t="shared" si="29"/>
        <v>989.08199999999999</v>
      </c>
      <c r="C508">
        <v>-0.72203700000000004</v>
      </c>
      <c r="D508">
        <v>-0.72203700000000004</v>
      </c>
    </row>
    <row r="509" spans="1:4" x14ac:dyDescent="0.25">
      <c r="A509">
        <v>0.99104400000000004</v>
      </c>
      <c r="B509">
        <f t="shared" si="29"/>
        <v>991.04399999999998</v>
      </c>
      <c r="C509">
        <v>-0.72059200000000001</v>
      </c>
      <c r="D509">
        <v>-0.72059200000000001</v>
      </c>
    </row>
    <row r="510" spans="1:4" x14ac:dyDescent="0.25">
      <c r="A510">
        <v>0.99300600000000006</v>
      </c>
      <c r="B510">
        <f t="shared" si="29"/>
        <v>993.00600000000009</v>
      </c>
      <c r="C510">
        <v>-0.71407399999999999</v>
      </c>
      <c r="D510">
        <v>-0.71407399999999999</v>
      </c>
    </row>
    <row r="511" spans="1:4" x14ac:dyDescent="0.25">
      <c r="A511">
        <v>0.99496899999999999</v>
      </c>
      <c r="B511">
        <f t="shared" si="29"/>
        <v>994.96899999999994</v>
      </c>
      <c r="C511">
        <v>-0.71089800000000003</v>
      </c>
      <c r="D511">
        <v>-0.71089800000000003</v>
      </c>
    </row>
    <row r="512" spans="1:4" x14ac:dyDescent="0.25">
      <c r="A512">
        <v>0.99693100000000001</v>
      </c>
      <c r="B512">
        <f t="shared" si="29"/>
        <v>996.93100000000004</v>
      </c>
      <c r="C512">
        <v>-0.70714399999999999</v>
      </c>
      <c r="D512">
        <v>-0.70714399999999999</v>
      </c>
    </row>
    <row r="513" spans="1:4" x14ac:dyDescent="0.25">
      <c r="A513">
        <v>0.99889399999999995</v>
      </c>
      <c r="B513">
        <f t="shared" si="29"/>
        <v>998.89400000000001</v>
      </c>
      <c r="C513">
        <v>-0.70788600000000002</v>
      </c>
      <c r="D513">
        <v>-0.70788600000000002</v>
      </c>
    </row>
    <row r="514" spans="1:4" x14ac:dyDescent="0.25">
      <c r="A514">
        <v>1.0008600000000001</v>
      </c>
      <c r="B514">
        <f t="shared" si="29"/>
        <v>1000.8600000000001</v>
      </c>
      <c r="C514">
        <v>-0.71132600000000001</v>
      </c>
      <c r="D514">
        <v>-0.71132600000000001</v>
      </c>
    </row>
    <row r="515" spans="1:4" x14ac:dyDescent="0.25">
      <c r="A515">
        <v>1.00282</v>
      </c>
      <c r="B515">
        <f t="shared" si="29"/>
        <v>1002.82</v>
      </c>
      <c r="C515">
        <v>-0.71393200000000001</v>
      </c>
      <c r="D515">
        <v>-0.71393200000000001</v>
      </c>
    </row>
    <row r="516" spans="1:4" x14ac:dyDescent="0.25">
      <c r="A516">
        <v>1.00478</v>
      </c>
      <c r="B516">
        <f t="shared" si="29"/>
        <v>1004.78</v>
      </c>
      <c r="C516">
        <v>-0.71454899999999999</v>
      </c>
      <c r="D516">
        <v>-0.71454899999999999</v>
      </c>
    </row>
    <row r="517" spans="1:4" x14ac:dyDescent="0.25">
      <c r="A517">
        <v>1.00674</v>
      </c>
      <c r="B517">
        <f t="shared" ref="B517:B580" si="30">A517*1000</f>
        <v>1006.74</v>
      </c>
      <c r="C517">
        <v>-0.714638</v>
      </c>
      <c r="D517">
        <v>-0.714638</v>
      </c>
    </row>
    <row r="518" spans="1:4" x14ac:dyDescent="0.25">
      <c r="A518">
        <v>1.00871</v>
      </c>
      <c r="B518">
        <f t="shared" si="30"/>
        <v>1008.71</v>
      </c>
      <c r="C518">
        <v>-0.71901099999999996</v>
      </c>
      <c r="D518">
        <v>-0.71901099999999996</v>
      </c>
    </row>
    <row r="519" spans="1:4" x14ac:dyDescent="0.25">
      <c r="A519">
        <v>1.01067</v>
      </c>
      <c r="B519">
        <f t="shared" si="30"/>
        <v>1010.67</v>
      </c>
      <c r="C519">
        <v>-0.71702100000000002</v>
      </c>
      <c r="D519">
        <v>-0.71702100000000002</v>
      </c>
    </row>
    <row r="520" spans="1:4" x14ac:dyDescent="0.25">
      <c r="A520">
        <v>1.0126299999999999</v>
      </c>
      <c r="B520">
        <f t="shared" si="30"/>
        <v>1012.6299999999999</v>
      </c>
      <c r="C520">
        <v>-0.71477299999999999</v>
      </c>
      <c r="D520">
        <v>-0.71477299999999999</v>
      </c>
    </row>
    <row r="521" spans="1:4" x14ac:dyDescent="0.25">
      <c r="A521">
        <v>1.0145900000000001</v>
      </c>
      <c r="B521">
        <f t="shared" si="30"/>
        <v>1014.5900000000001</v>
      </c>
      <c r="C521">
        <v>-0.71558900000000003</v>
      </c>
      <c r="D521">
        <v>-0.71558900000000003</v>
      </c>
    </row>
    <row r="522" spans="1:4" x14ac:dyDescent="0.25">
      <c r="A522">
        <v>1.0165599999999999</v>
      </c>
      <c r="B522">
        <f t="shared" si="30"/>
        <v>1016.56</v>
      </c>
      <c r="C522">
        <v>-0.71405300000000005</v>
      </c>
      <c r="D522">
        <v>-0.71405300000000005</v>
      </c>
    </row>
    <row r="523" spans="1:4" x14ac:dyDescent="0.25">
      <c r="A523">
        <v>1.0185200000000001</v>
      </c>
      <c r="B523">
        <f t="shared" si="30"/>
        <v>1018.5200000000001</v>
      </c>
      <c r="C523">
        <v>-0.71588200000000002</v>
      </c>
      <c r="D523">
        <v>-0.71588200000000002</v>
      </c>
    </row>
    <row r="524" spans="1:4" x14ac:dyDescent="0.25">
      <c r="A524">
        <v>1.0204800000000001</v>
      </c>
      <c r="B524">
        <f t="shared" si="30"/>
        <v>1020.48</v>
      </c>
      <c r="C524">
        <v>-0.72101199999999999</v>
      </c>
      <c r="D524">
        <v>-0.72101199999999999</v>
      </c>
    </row>
    <row r="525" spans="1:4" x14ac:dyDescent="0.25">
      <c r="A525">
        <v>1.02244</v>
      </c>
      <c r="B525">
        <f t="shared" si="30"/>
        <v>1022.44</v>
      </c>
      <c r="C525">
        <v>-0.72218899999999997</v>
      </c>
      <c r="D525">
        <v>-0.72218899999999997</v>
      </c>
    </row>
    <row r="526" spans="1:4" x14ac:dyDescent="0.25">
      <c r="A526">
        <v>1.02441</v>
      </c>
      <c r="B526">
        <f t="shared" si="30"/>
        <v>1024.4100000000001</v>
      </c>
      <c r="C526">
        <v>-0.71633899999999995</v>
      </c>
      <c r="D526">
        <v>-0.71633899999999995</v>
      </c>
    </row>
    <row r="527" spans="1:4" x14ac:dyDescent="0.25">
      <c r="A527">
        <v>1.02637</v>
      </c>
      <c r="B527">
        <f t="shared" si="30"/>
        <v>1026.3699999999999</v>
      </c>
      <c r="C527">
        <v>-0.71285100000000001</v>
      </c>
      <c r="D527">
        <v>-0.71285100000000001</v>
      </c>
    </row>
    <row r="528" spans="1:4" x14ac:dyDescent="0.25">
      <c r="A528">
        <v>1.02833</v>
      </c>
      <c r="B528">
        <f t="shared" si="30"/>
        <v>1028.33</v>
      </c>
      <c r="C528">
        <v>-0.713642</v>
      </c>
      <c r="D528">
        <v>-0.713642</v>
      </c>
    </row>
    <row r="529" spans="1:4" x14ac:dyDescent="0.25">
      <c r="A529">
        <v>1.0302899999999999</v>
      </c>
      <c r="B529">
        <f t="shared" si="30"/>
        <v>1030.29</v>
      </c>
      <c r="C529">
        <v>-0.72153100000000003</v>
      </c>
      <c r="D529">
        <v>-0.72153100000000003</v>
      </c>
    </row>
    <row r="530" spans="1:4" x14ac:dyDescent="0.25">
      <c r="A530">
        <v>1.03226</v>
      </c>
      <c r="B530">
        <f t="shared" si="30"/>
        <v>1032.26</v>
      </c>
      <c r="C530">
        <v>-0.71974899999999997</v>
      </c>
      <c r="D530">
        <v>-0.71974899999999997</v>
      </c>
    </row>
    <row r="531" spans="1:4" x14ac:dyDescent="0.25">
      <c r="A531">
        <v>1.0342199999999999</v>
      </c>
      <c r="B531">
        <f t="shared" si="30"/>
        <v>1034.22</v>
      </c>
      <c r="C531">
        <v>-0.71554200000000001</v>
      </c>
      <c r="D531">
        <v>-0.71554200000000001</v>
      </c>
    </row>
    <row r="532" spans="1:4" x14ac:dyDescent="0.25">
      <c r="A532">
        <v>1.0361800000000001</v>
      </c>
      <c r="B532">
        <f t="shared" si="30"/>
        <v>1036.18</v>
      </c>
      <c r="C532">
        <v>-0.715086</v>
      </c>
      <c r="D532">
        <v>-0.715086</v>
      </c>
    </row>
    <row r="533" spans="1:4" x14ac:dyDescent="0.25">
      <c r="A533">
        <v>1.0381400000000001</v>
      </c>
      <c r="B533">
        <f t="shared" si="30"/>
        <v>1038.1400000000001</v>
      </c>
      <c r="C533">
        <v>-0.71767899999999996</v>
      </c>
      <c r="D533">
        <v>-0.71767899999999996</v>
      </c>
    </row>
    <row r="534" spans="1:4" x14ac:dyDescent="0.25">
      <c r="A534">
        <v>1.0401100000000001</v>
      </c>
      <c r="B534">
        <f t="shared" si="30"/>
        <v>1040.1100000000001</v>
      </c>
      <c r="C534">
        <v>-0.71617600000000003</v>
      </c>
      <c r="D534">
        <v>-0.71617600000000003</v>
      </c>
    </row>
    <row r="535" spans="1:4" x14ac:dyDescent="0.25">
      <c r="A535">
        <v>1.0420700000000001</v>
      </c>
      <c r="B535">
        <f t="shared" si="30"/>
        <v>1042.0700000000002</v>
      </c>
      <c r="C535">
        <v>-0.71296499999999996</v>
      </c>
      <c r="D535">
        <v>-0.71296499999999996</v>
      </c>
    </row>
    <row r="536" spans="1:4" x14ac:dyDescent="0.25">
      <c r="A536">
        <v>1.04403</v>
      </c>
      <c r="B536">
        <f t="shared" si="30"/>
        <v>1044.03</v>
      </c>
      <c r="C536">
        <v>-0.71611800000000003</v>
      </c>
      <c r="D536">
        <v>-0.71611800000000003</v>
      </c>
    </row>
    <row r="537" spans="1:4" x14ac:dyDescent="0.25">
      <c r="A537">
        <v>1.04599</v>
      </c>
      <c r="B537">
        <f t="shared" si="30"/>
        <v>1045.99</v>
      </c>
      <c r="C537">
        <v>-0.72127200000000002</v>
      </c>
      <c r="D537">
        <v>-0.72127200000000002</v>
      </c>
    </row>
    <row r="538" spans="1:4" x14ac:dyDescent="0.25">
      <c r="A538">
        <v>1.04796</v>
      </c>
      <c r="B538">
        <f t="shared" si="30"/>
        <v>1047.96</v>
      </c>
      <c r="C538">
        <v>-0.71374499999999996</v>
      </c>
      <c r="D538">
        <v>-0.71374499999999996</v>
      </c>
    </row>
    <row r="539" spans="1:4" x14ac:dyDescent="0.25">
      <c r="A539">
        <v>1.04992</v>
      </c>
      <c r="B539">
        <f t="shared" si="30"/>
        <v>1049.92</v>
      </c>
      <c r="C539">
        <v>-0.71467800000000004</v>
      </c>
      <c r="D539">
        <v>-0.71467800000000004</v>
      </c>
    </row>
    <row r="540" spans="1:4" x14ac:dyDescent="0.25">
      <c r="A540">
        <v>1.0518799999999999</v>
      </c>
      <c r="B540">
        <f t="shared" si="30"/>
        <v>1051.8799999999999</v>
      </c>
      <c r="C540">
        <v>-0.71231500000000003</v>
      </c>
      <c r="D540">
        <v>-0.71231500000000003</v>
      </c>
    </row>
    <row r="541" spans="1:4" x14ac:dyDescent="0.25">
      <c r="A541">
        <v>1.0538400000000001</v>
      </c>
      <c r="B541">
        <f t="shared" si="30"/>
        <v>1053.8400000000001</v>
      </c>
      <c r="C541">
        <v>-0.71344300000000005</v>
      </c>
      <c r="D541">
        <v>-0.71344300000000005</v>
      </c>
    </row>
    <row r="542" spans="1:4" x14ac:dyDescent="0.25">
      <c r="A542">
        <v>1.0558099999999999</v>
      </c>
      <c r="B542">
        <f t="shared" si="30"/>
        <v>1055.81</v>
      </c>
      <c r="C542">
        <v>-0.71703700000000004</v>
      </c>
      <c r="D542">
        <v>-0.71703700000000004</v>
      </c>
    </row>
    <row r="543" spans="1:4" x14ac:dyDescent="0.25">
      <c r="A543">
        <v>1.0577700000000001</v>
      </c>
      <c r="B543">
        <f t="shared" si="30"/>
        <v>1057.7700000000002</v>
      </c>
      <c r="C543">
        <v>-0.711642</v>
      </c>
      <c r="D543">
        <v>-0.711642</v>
      </c>
    </row>
    <row r="544" spans="1:4" x14ac:dyDescent="0.25">
      <c r="A544">
        <v>1.0597300000000001</v>
      </c>
      <c r="B544">
        <f t="shared" si="30"/>
        <v>1059.73</v>
      </c>
      <c r="C544">
        <v>-0.70774099999999995</v>
      </c>
      <c r="D544">
        <v>-0.70774099999999995</v>
      </c>
    </row>
    <row r="545" spans="1:4" x14ac:dyDescent="0.25">
      <c r="A545">
        <v>1.06169</v>
      </c>
      <c r="B545">
        <f t="shared" si="30"/>
        <v>1061.69</v>
      </c>
      <c r="C545">
        <v>-0.706376</v>
      </c>
      <c r="D545">
        <v>-0.706376</v>
      </c>
    </row>
    <row r="546" spans="1:4" x14ac:dyDescent="0.25">
      <c r="A546">
        <v>1.06366</v>
      </c>
      <c r="B546">
        <f t="shared" si="30"/>
        <v>1063.6600000000001</v>
      </c>
      <c r="C546">
        <v>-0.71720200000000001</v>
      </c>
      <c r="D546">
        <v>-0.71720200000000001</v>
      </c>
    </row>
    <row r="547" spans="1:4" x14ac:dyDescent="0.25">
      <c r="A547">
        <v>1.06562</v>
      </c>
      <c r="B547">
        <f t="shared" si="30"/>
        <v>1065.6200000000001</v>
      </c>
      <c r="C547">
        <v>-0.72497100000000003</v>
      </c>
      <c r="D547">
        <v>-0.72497100000000003</v>
      </c>
    </row>
    <row r="548" spans="1:4" x14ac:dyDescent="0.25">
      <c r="A548">
        <v>1.06758</v>
      </c>
      <c r="B548">
        <f t="shared" si="30"/>
        <v>1067.58</v>
      </c>
      <c r="C548">
        <v>-0.71522699999999995</v>
      </c>
      <c r="D548">
        <v>-0.71522699999999995</v>
      </c>
    </row>
    <row r="549" spans="1:4" x14ac:dyDescent="0.25">
      <c r="A549">
        <v>1.0695399999999999</v>
      </c>
      <c r="B549">
        <f t="shared" si="30"/>
        <v>1069.54</v>
      </c>
      <c r="C549">
        <v>-0.70992699999999997</v>
      </c>
      <c r="D549">
        <v>-0.70992699999999997</v>
      </c>
    </row>
    <row r="550" spans="1:4" x14ac:dyDescent="0.25">
      <c r="A550">
        <v>1.07151</v>
      </c>
      <c r="B550">
        <f t="shared" si="30"/>
        <v>1071.51</v>
      </c>
      <c r="C550">
        <v>-0.71601199999999998</v>
      </c>
      <c r="D550">
        <v>-0.71601199999999998</v>
      </c>
    </row>
    <row r="551" spans="1:4" x14ac:dyDescent="0.25">
      <c r="A551">
        <v>1.0734699999999999</v>
      </c>
      <c r="B551">
        <f t="shared" si="30"/>
        <v>1073.47</v>
      </c>
      <c r="C551">
        <v>-0.72075999999999996</v>
      </c>
      <c r="D551">
        <v>-0.72075999999999996</v>
      </c>
    </row>
    <row r="552" spans="1:4" x14ac:dyDescent="0.25">
      <c r="A552">
        <v>1.0754300000000001</v>
      </c>
      <c r="B552">
        <f t="shared" si="30"/>
        <v>1075.43</v>
      </c>
      <c r="C552">
        <v>-0.71710300000000005</v>
      </c>
      <c r="D552">
        <v>-0.71710300000000005</v>
      </c>
    </row>
    <row r="553" spans="1:4" x14ac:dyDescent="0.25">
      <c r="A553">
        <v>1.0773900000000001</v>
      </c>
      <c r="B553">
        <f t="shared" si="30"/>
        <v>1077.3900000000001</v>
      </c>
      <c r="C553">
        <v>-0.71501099999999995</v>
      </c>
      <c r="D553">
        <v>-0.71501099999999995</v>
      </c>
    </row>
    <row r="554" spans="1:4" x14ac:dyDescent="0.25">
      <c r="A554">
        <v>1.07935</v>
      </c>
      <c r="B554">
        <f t="shared" si="30"/>
        <v>1079.3500000000001</v>
      </c>
      <c r="C554">
        <v>-0.70745800000000003</v>
      </c>
      <c r="D554">
        <v>-0.70745800000000003</v>
      </c>
    </row>
    <row r="555" spans="1:4" x14ac:dyDescent="0.25">
      <c r="A555">
        <v>1.0813200000000001</v>
      </c>
      <c r="B555">
        <f t="shared" si="30"/>
        <v>1081.3200000000002</v>
      </c>
      <c r="C555">
        <v>-0.71021699999999999</v>
      </c>
      <c r="D555">
        <v>-0.71021699999999999</v>
      </c>
    </row>
    <row r="556" spans="1:4" x14ac:dyDescent="0.25">
      <c r="A556">
        <v>1.08328</v>
      </c>
      <c r="B556">
        <f t="shared" si="30"/>
        <v>1083.28</v>
      </c>
      <c r="C556">
        <v>-0.70993399999999995</v>
      </c>
      <c r="D556">
        <v>-0.70993399999999995</v>
      </c>
    </row>
    <row r="557" spans="1:4" x14ac:dyDescent="0.25">
      <c r="A557">
        <v>1.08524</v>
      </c>
      <c r="B557">
        <f t="shared" si="30"/>
        <v>1085.24</v>
      </c>
      <c r="C557">
        <v>-0.70962700000000001</v>
      </c>
      <c r="D557">
        <v>-0.70962700000000001</v>
      </c>
    </row>
    <row r="558" spans="1:4" x14ac:dyDescent="0.25">
      <c r="A558">
        <v>1.0871999999999999</v>
      </c>
      <c r="B558">
        <f t="shared" si="30"/>
        <v>1087.2</v>
      </c>
      <c r="C558">
        <v>-0.70617700000000005</v>
      </c>
      <c r="D558">
        <v>-0.70617700000000005</v>
      </c>
    </row>
    <row r="559" spans="1:4" x14ac:dyDescent="0.25">
      <c r="A559">
        <v>1.08917</v>
      </c>
      <c r="B559">
        <f t="shared" si="30"/>
        <v>1089.17</v>
      </c>
      <c r="C559">
        <v>-0.70781300000000003</v>
      </c>
      <c r="D559">
        <v>-0.70781300000000003</v>
      </c>
    </row>
    <row r="560" spans="1:4" x14ac:dyDescent="0.25">
      <c r="A560">
        <v>1.0911299999999999</v>
      </c>
      <c r="B560">
        <f t="shared" si="30"/>
        <v>1091.1299999999999</v>
      </c>
      <c r="C560">
        <v>-0.71243800000000002</v>
      </c>
      <c r="D560">
        <v>-0.71243800000000002</v>
      </c>
    </row>
    <row r="561" spans="1:4" x14ac:dyDescent="0.25">
      <c r="A561">
        <v>1.0930899999999999</v>
      </c>
      <c r="B561">
        <f t="shared" si="30"/>
        <v>1093.0899999999999</v>
      </c>
      <c r="C561">
        <v>-0.72126400000000002</v>
      </c>
      <c r="D561">
        <v>-0.72126400000000002</v>
      </c>
    </row>
    <row r="562" spans="1:4" x14ac:dyDescent="0.25">
      <c r="A562">
        <v>1.0950500000000001</v>
      </c>
      <c r="B562">
        <f t="shared" si="30"/>
        <v>1095.0500000000002</v>
      </c>
      <c r="C562">
        <v>-0.72062700000000002</v>
      </c>
      <c r="D562">
        <v>-0.72062700000000002</v>
      </c>
    </row>
    <row r="563" spans="1:4" x14ac:dyDescent="0.25">
      <c r="A563">
        <v>1.0970200000000001</v>
      </c>
      <c r="B563">
        <f t="shared" si="30"/>
        <v>1097.0200000000002</v>
      </c>
      <c r="C563">
        <v>-0.71409599999999995</v>
      </c>
      <c r="D563">
        <v>-0.71409599999999995</v>
      </c>
    </row>
    <row r="564" spans="1:4" x14ac:dyDescent="0.25">
      <c r="A564">
        <v>1.0989800000000001</v>
      </c>
      <c r="B564">
        <f t="shared" si="30"/>
        <v>1098.98</v>
      </c>
      <c r="C564">
        <v>-0.71094000000000002</v>
      </c>
      <c r="D564">
        <v>-0.71094000000000002</v>
      </c>
    </row>
    <row r="565" spans="1:4" x14ac:dyDescent="0.25">
      <c r="A565">
        <v>1.10094</v>
      </c>
      <c r="B565">
        <f t="shared" si="30"/>
        <v>1100.94</v>
      </c>
      <c r="C565">
        <v>-0.71176300000000003</v>
      </c>
      <c r="D565">
        <v>-0.71176300000000003</v>
      </c>
    </row>
    <row r="566" spans="1:4" x14ac:dyDescent="0.25">
      <c r="A566">
        <v>1.1029</v>
      </c>
      <c r="B566">
        <f t="shared" si="30"/>
        <v>1102.9000000000001</v>
      </c>
      <c r="C566">
        <v>-0.710476</v>
      </c>
      <c r="D566">
        <v>-0.710476</v>
      </c>
    </row>
    <row r="567" spans="1:4" x14ac:dyDescent="0.25">
      <c r="A567">
        <v>1.10487</v>
      </c>
      <c r="B567">
        <f t="shared" si="30"/>
        <v>1104.8700000000001</v>
      </c>
      <c r="C567">
        <v>-0.71561300000000005</v>
      </c>
      <c r="D567">
        <v>-0.71561300000000005</v>
      </c>
    </row>
    <row r="568" spans="1:4" x14ac:dyDescent="0.25">
      <c r="A568">
        <v>1.10683</v>
      </c>
      <c r="B568">
        <f t="shared" si="30"/>
        <v>1106.83</v>
      </c>
      <c r="C568">
        <v>-0.71770400000000001</v>
      </c>
      <c r="D568">
        <v>-0.71770400000000001</v>
      </c>
    </row>
    <row r="569" spans="1:4" x14ac:dyDescent="0.25">
      <c r="A569">
        <v>1.1087899999999999</v>
      </c>
      <c r="B569">
        <f t="shared" si="30"/>
        <v>1108.79</v>
      </c>
      <c r="C569">
        <v>-0.71650700000000001</v>
      </c>
      <c r="D569">
        <v>-0.71650700000000001</v>
      </c>
    </row>
    <row r="570" spans="1:4" x14ac:dyDescent="0.25">
      <c r="A570">
        <v>1.1107499999999999</v>
      </c>
      <c r="B570">
        <f t="shared" si="30"/>
        <v>1110.75</v>
      </c>
      <c r="C570">
        <v>-0.71303899999999998</v>
      </c>
      <c r="D570">
        <v>-0.71303899999999998</v>
      </c>
    </row>
    <row r="571" spans="1:4" x14ac:dyDescent="0.25">
      <c r="A571">
        <v>1.1127199999999999</v>
      </c>
      <c r="B571">
        <f t="shared" si="30"/>
        <v>1112.72</v>
      </c>
      <c r="C571">
        <v>-0.71261200000000002</v>
      </c>
      <c r="D571">
        <v>-0.71261200000000002</v>
      </c>
    </row>
    <row r="572" spans="1:4" x14ac:dyDescent="0.25">
      <c r="A572">
        <v>1.1146799999999999</v>
      </c>
      <c r="B572">
        <f t="shared" si="30"/>
        <v>1114.6799999999998</v>
      </c>
      <c r="C572">
        <v>-0.71547799999999995</v>
      </c>
      <c r="D572">
        <v>-0.71547799999999995</v>
      </c>
    </row>
    <row r="573" spans="1:4" x14ac:dyDescent="0.25">
      <c r="A573">
        <v>1.1166400000000001</v>
      </c>
      <c r="B573">
        <f t="shared" si="30"/>
        <v>1116.6400000000001</v>
      </c>
      <c r="C573">
        <v>-0.71999000000000002</v>
      </c>
      <c r="D573">
        <v>-0.71999000000000002</v>
      </c>
    </row>
    <row r="574" spans="1:4" x14ac:dyDescent="0.25">
      <c r="A574">
        <v>1.1186</v>
      </c>
      <c r="B574">
        <f t="shared" si="30"/>
        <v>1118.6000000000001</v>
      </c>
      <c r="C574">
        <v>-0.71965299999999999</v>
      </c>
      <c r="D574">
        <v>-0.71965299999999999</v>
      </c>
    </row>
    <row r="575" spans="1:4" x14ac:dyDescent="0.25">
      <c r="A575">
        <v>1.1205700000000001</v>
      </c>
      <c r="B575">
        <f t="shared" si="30"/>
        <v>1120.5700000000002</v>
      </c>
      <c r="C575">
        <v>-0.71592299999999998</v>
      </c>
      <c r="D575">
        <v>-0.71592299999999998</v>
      </c>
    </row>
    <row r="576" spans="1:4" x14ac:dyDescent="0.25">
      <c r="A576">
        <v>1.12253</v>
      </c>
      <c r="B576">
        <f t="shared" si="30"/>
        <v>1122.53</v>
      </c>
      <c r="C576">
        <v>-0.71148</v>
      </c>
      <c r="D576">
        <v>-0.71148</v>
      </c>
    </row>
    <row r="577" spans="1:4" x14ac:dyDescent="0.25">
      <c r="A577">
        <v>1.12449</v>
      </c>
      <c r="B577">
        <f t="shared" si="30"/>
        <v>1124.49</v>
      </c>
      <c r="C577">
        <v>-0.71204400000000001</v>
      </c>
      <c r="D577">
        <v>-0.71204400000000001</v>
      </c>
    </row>
    <row r="578" spans="1:4" x14ac:dyDescent="0.25">
      <c r="A578">
        <v>1.12645</v>
      </c>
      <c r="B578">
        <f t="shared" si="30"/>
        <v>1126.45</v>
      </c>
      <c r="C578">
        <v>-0.71253299999999997</v>
      </c>
      <c r="D578">
        <v>-0.71253299999999997</v>
      </c>
    </row>
    <row r="579" spans="1:4" x14ac:dyDescent="0.25">
      <c r="A579">
        <v>1.12842</v>
      </c>
      <c r="B579">
        <f t="shared" si="30"/>
        <v>1128.42</v>
      </c>
      <c r="C579">
        <v>-0.71335400000000004</v>
      </c>
      <c r="D579">
        <v>-0.71335400000000004</v>
      </c>
    </row>
    <row r="580" spans="1:4" x14ac:dyDescent="0.25">
      <c r="A580">
        <v>1.1303799999999999</v>
      </c>
      <c r="B580">
        <f t="shared" si="30"/>
        <v>1130.3799999999999</v>
      </c>
      <c r="C580">
        <v>-0.713503</v>
      </c>
      <c r="D580">
        <v>-0.713503</v>
      </c>
    </row>
    <row r="581" spans="1:4" x14ac:dyDescent="0.25">
      <c r="A581">
        <v>1.1323399999999999</v>
      </c>
      <c r="B581">
        <f t="shared" ref="B581:B643" si="31">A581*1000</f>
        <v>1132.3399999999999</v>
      </c>
      <c r="C581">
        <v>-0.71852700000000003</v>
      </c>
      <c r="D581">
        <v>-0.71852700000000003</v>
      </c>
    </row>
    <row r="582" spans="1:4" x14ac:dyDescent="0.25">
      <c r="A582">
        <v>1.1343000000000001</v>
      </c>
      <c r="B582">
        <f t="shared" si="31"/>
        <v>1134.3000000000002</v>
      </c>
      <c r="C582">
        <v>-0.70689199999999996</v>
      </c>
      <c r="D582">
        <v>-0.70689199999999996</v>
      </c>
    </row>
    <row r="583" spans="1:4" x14ac:dyDescent="0.25">
      <c r="A583">
        <v>1.1362699999999999</v>
      </c>
      <c r="B583">
        <f t="shared" si="31"/>
        <v>1136.27</v>
      </c>
      <c r="C583">
        <v>-0.70817600000000003</v>
      </c>
      <c r="D583">
        <v>-0.70817600000000003</v>
      </c>
    </row>
    <row r="584" spans="1:4" x14ac:dyDescent="0.25">
      <c r="A584">
        <v>1.1382300000000001</v>
      </c>
      <c r="B584">
        <f t="shared" si="31"/>
        <v>1138.23</v>
      </c>
      <c r="C584">
        <v>-0.71388700000000005</v>
      </c>
      <c r="D584">
        <v>-0.71388700000000005</v>
      </c>
    </row>
    <row r="585" spans="1:4" x14ac:dyDescent="0.25">
      <c r="A585">
        <v>1.14019</v>
      </c>
      <c r="B585">
        <f t="shared" si="31"/>
        <v>1140.19</v>
      </c>
      <c r="C585">
        <v>-0.72025499999999998</v>
      </c>
      <c r="D585">
        <v>-0.72025499999999998</v>
      </c>
    </row>
    <row r="586" spans="1:4" x14ac:dyDescent="0.25">
      <c r="A586">
        <v>1.14215</v>
      </c>
      <c r="B586">
        <f t="shared" si="31"/>
        <v>1142.1500000000001</v>
      </c>
      <c r="C586">
        <v>-0.72219599999999995</v>
      </c>
      <c r="D586">
        <v>-0.72219599999999995</v>
      </c>
    </row>
    <row r="587" spans="1:4" x14ac:dyDescent="0.25">
      <c r="A587">
        <v>1.14412</v>
      </c>
      <c r="B587">
        <f t="shared" si="31"/>
        <v>1144.1200000000001</v>
      </c>
      <c r="C587">
        <v>-0.71527200000000002</v>
      </c>
      <c r="D587">
        <v>-0.71527200000000002</v>
      </c>
    </row>
    <row r="588" spans="1:4" x14ac:dyDescent="0.25">
      <c r="A588">
        <v>1.14608</v>
      </c>
      <c r="B588">
        <f t="shared" si="31"/>
        <v>1146.08</v>
      </c>
      <c r="C588">
        <v>-0.71428599999999998</v>
      </c>
      <c r="D588">
        <v>-0.71428599999999998</v>
      </c>
    </row>
    <row r="589" spans="1:4" x14ac:dyDescent="0.25">
      <c r="A589">
        <v>1.1480399999999999</v>
      </c>
      <c r="B589">
        <f t="shared" si="31"/>
        <v>1148.04</v>
      </c>
      <c r="C589">
        <v>-0.71879800000000005</v>
      </c>
      <c r="D589">
        <v>-0.71879800000000005</v>
      </c>
    </row>
    <row r="590" spans="1:4" x14ac:dyDescent="0.25">
      <c r="A590">
        <v>1.1499999999999999</v>
      </c>
      <c r="B590">
        <f t="shared" si="31"/>
        <v>1150</v>
      </c>
      <c r="C590">
        <v>-0.71487000000000001</v>
      </c>
      <c r="D590">
        <v>-0.71487000000000001</v>
      </c>
    </row>
    <row r="591" spans="1:4" x14ac:dyDescent="0.25">
      <c r="A591">
        <v>1.1519699999999999</v>
      </c>
      <c r="B591">
        <f t="shared" si="31"/>
        <v>1151.97</v>
      </c>
      <c r="C591">
        <v>-0.70875500000000002</v>
      </c>
      <c r="D591">
        <v>-0.70875500000000002</v>
      </c>
    </row>
    <row r="592" spans="1:4" x14ac:dyDescent="0.25">
      <c r="A592">
        <v>1.1539299999999999</v>
      </c>
      <c r="B592">
        <f t="shared" si="31"/>
        <v>1153.9299999999998</v>
      </c>
      <c r="C592">
        <v>-0.70589400000000002</v>
      </c>
      <c r="D592">
        <v>-0.70589400000000002</v>
      </c>
    </row>
    <row r="593" spans="1:4" x14ac:dyDescent="0.25">
      <c r="A593">
        <v>1.1558900000000001</v>
      </c>
      <c r="B593">
        <f t="shared" si="31"/>
        <v>1155.8900000000001</v>
      </c>
      <c r="C593">
        <v>-0.714175</v>
      </c>
      <c r="D593">
        <v>-0.714175</v>
      </c>
    </row>
    <row r="594" spans="1:4" x14ac:dyDescent="0.25">
      <c r="A594">
        <v>1.15785</v>
      </c>
      <c r="B594">
        <f t="shared" si="31"/>
        <v>1157.8500000000001</v>
      </c>
      <c r="C594">
        <v>-0.71605300000000005</v>
      </c>
      <c r="D594">
        <v>-0.71605300000000005</v>
      </c>
    </row>
    <row r="595" spans="1:4" x14ac:dyDescent="0.25">
      <c r="A595">
        <v>1.1598200000000001</v>
      </c>
      <c r="B595">
        <f t="shared" si="31"/>
        <v>1159.8200000000002</v>
      </c>
      <c r="C595">
        <v>-0.710372</v>
      </c>
      <c r="D595">
        <v>-0.710372</v>
      </c>
    </row>
    <row r="596" spans="1:4" x14ac:dyDescent="0.25">
      <c r="A596">
        <v>1.16178</v>
      </c>
      <c r="B596">
        <f t="shared" si="31"/>
        <v>1161.78</v>
      </c>
      <c r="C596">
        <v>-0.70946399999999998</v>
      </c>
      <c r="D596">
        <v>-0.70946399999999998</v>
      </c>
    </row>
    <row r="597" spans="1:4" x14ac:dyDescent="0.25">
      <c r="A597">
        <v>1.16374</v>
      </c>
      <c r="B597">
        <f t="shared" si="31"/>
        <v>1163.74</v>
      </c>
      <c r="C597">
        <v>-0.71088099999999999</v>
      </c>
      <c r="D597">
        <v>-0.71088099999999999</v>
      </c>
    </row>
    <row r="598" spans="1:4" x14ac:dyDescent="0.25">
      <c r="A598">
        <v>1.1657</v>
      </c>
      <c r="B598">
        <f t="shared" si="31"/>
        <v>1165.7</v>
      </c>
      <c r="C598">
        <v>-0.70592200000000005</v>
      </c>
      <c r="D598">
        <v>-0.70592200000000005</v>
      </c>
    </row>
    <row r="599" spans="1:4" x14ac:dyDescent="0.25">
      <c r="A599">
        <v>1.16767</v>
      </c>
      <c r="B599">
        <f t="shared" si="31"/>
        <v>1167.67</v>
      </c>
      <c r="C599">
        <v>-0.70358600000000004</v>
      </c>
      <c r="D599">
        <v>-0.70358600000000004</v>
      </c>
    </row>
    <row r="600" spans="1:4" x14ac:dyDescent="0.25">
      <c r="A600">
        <v>1.1696299999999999</v>
      </c>
      <c r="B600">
        <f t="shared" si="31"/>
        <v>1169.6299999999999</v>
      </c>
      <c r="C600">
        <v>-0.70844499999999999</v>
      </c>
      <c r="D600">
        <v>-0.70844499999999999</v>
      </c>
    </row>
    <row r="601" spans="1:4" x14ac:dyDescent="0.25">
      <c r="A601">
        <v>1.1715899999999999</v>
      </c>
      <c r="B601">
        <f t="shared" si="31"/>
        <v>1171.5899999999999</v>
      </c>
      <c r="C601">
        <v>-0.71451399999999998</v>
      </c>
      <c r="D601">
        <v>-0.71451399999999998</v>
      </c>
    </row>
    <row r="602" spans="1:4" x14ac:dyDescent="0.25">
      <c r="A602">
        <v>1.1735500000000001</v>
      </c>
      <c r="B602">
        <f t="shared" si="31"/>
        <v>1173.5500000000002</v>
      </c>
      <c r="C602">
        <v>-0.72105300000000006</v>
      </c>
      <c r="D602">
        <v>-0.72105300000000006</v>
      </c>
    </row>
    <row r="603" spans="1:4" x14ac:dyDescent="0.25">
      <c r="A603">
        <v>1.1755199999999999</v>
      </c>
      <c r="B603">
        <f t="shared" si="31"/>
        <v>1175.52</v>
      </c>
      <c r="C603">
        <v>-0.718028</v>
      </c>
      <c r="D603">
        <v>-0.718028</v>
      </c>
    </row>
    <row r="604" spans="1:4" x14ac:dyDescent="0.25">
      <c r="A604">
        <v>1.1774800000000001</v>
      </c>
      <c r="B604">
        <f t="shared" si="31"/>
        <v>1177.48</v>
      </c>
      <c r="C604">
        <v>-0.70813099999999995</v>
      </c>
      <c r="D604">
        <v>-0.70813099999999995</v>
      </c>
    </row>
    <row r="605" spans="1:4" x14ac:dyDescent="0.25">
      <c r="A605">
        <v>1.17944</v>
      </c>
      <c r="B605">
        <f t="shared" si="31"/>
        <v>1179.44</v>
      </c>
      <c r="C605">
        <v>-0.71301700000000001</v>
      </c>
      <c r="D605">
        <v>-0.71301700000000001</v>
      </c>
    </row>
    <row r="606" spans="1:4" x14ac:dyDescent="0.25">
      <c r="A606">
        <v>1.1814</v>
      </c>
      <c r="B606">
        <f t="shared" si="31"/>
        <v>1181.4000000000001</v>
      </c>
      <c r="C606">
        <v>-0.71973500000000001</v>
      </c>
      <c r="D606">
        <v>-0.71973500000000001</v>
      </c>
    </row>
    <row r="607" spans="1:4" x14ac:dyDescent="0.25">
      <c r="A607">
        <v>1.18337</v>
      </c>
      <c r="B607">
        <f t="shared" si="31"/>
        <v>1183.3700000000001</v>
      </c>
      <c r="C607">
        <v>-0.72733599999999998</v>
      </c>
      <c r="D607">
        <v>-0.72733599999999998</v>
      </c>
    </row>
    <row r="608" spans="1:4" x14ac:dyDescent="0.25">
      <c r="A608">
        <v>1.18533</v>
      </c>
      <c r="B608">
        <f t="shared" si="31"/>
        <v>1185.33</v>
      </c>
      <c r="C608">
        <v>-0.72353000000000001</v>
      </c>
      <c r="D608">
        <v>-0.72353000000000001</v>
      </c>
    </row>
    <row r="609" spans="1:4" x14ac:dyDescent="0.25">
      <c r="A609">
        <v>1.18729</v>
      </c>
      <c r="B609">
        <f t="shared" si="31"/>
        <v>1187.29</v>
      </c>
      <c r="C609">
        <v>-0.72154300000000005</v>
      </c>
      <c r="D609">
        <v>-0.72154300000000005</v>
      </c>
    </row>
    <row r="610" spans="1:4" x14ac:dyDescent="0.25">
      <c r="A610">
        <v>1.1892499999999999</v>
      </c>
      <c r="B610">
        <f t="shared" si="31"/>
        <v>1189.25</v>
      </c>
      <c r="C610">
        <v>-0.71567400000000003</v>
      </c>
      <c r="D610">
        <v>-0.71567400000000003</v>
      </c>
    </row>
    <row r="611" spans="1:4" x14ac:dyDescent="0.25">
      <c r="A611">
        <v>1.1912199999999999</v>
      </c>
      <c r="B611">
        <f t="shared" si="31"/>
        <v>1191.22</v>
      </c>
      <c r="C611">
        <v>-0.72458599999999995</v>
      </c>
      <c r="D611">
        <v>-0.72458599999999995</v>
      </c>
    </row>
    <row r="612" spans="1:4" x14ac:dyDescent="0.25">
      <c r="A612">
        <v>1.1931799999999999</v>
      </c>
      <c r="B612">
        <f t="shared" si="31"/>
        <v>1193.1799999999998</v>
      </c>
      <c r="C612">
        <v>-0.72307699999999997</v>
      </c>
      <c r="D612">
        <v>-0.72307699999999997</v>
      </c>
    </row>
    <row r="613" spans="1:4" x14ac:dyDescent="0.25">
      <c r="A613">
        <v>1.1951400000000001</v>
      </c>
      <c r="B613">
        <f t="shared" si="31"/>
        <v>1195.1400000000001</v>
      </c>
      <c r="C613">
        <v>-0.72064300000000003</v>
      </c>
      <c r="D613">
        <v>-0.72064300000000003</v>
      </c>
    </row>
    <row r="614" spans="1:4" x14ac:dyDescent="0.25">
      <c r="A614">
        <v>1.1971000000000001</v>
      </c>
      <c r="B614">
        <f t="shared" si="31"/>
        <v>1197.1000000000001</v>
      </c>
      <c r="C614">
        <v>-0.72101000000000004</v>
      </c>
      <c r="D614">
        <v>-0.72101000000000004</v>
      </c>
    </row>
    <row r="615" spans="1:4" x14ac:dyDescent="0.25">
      <c r="A615">
        <v>1.1990700000000001</v>
      </c>
      <c r="B615">
        <f t="shared" si="31"/>
        <v>1199.0700000000002</v>
      </c>
      <c r="C615">
        <v>-0.72133000000000003</v>
      </c>
      <c r="D615">
        <v>-0.72133000000000003</v>
      </c>
    </row>
    <row r="616" spans="1:4" x14ac:dyDescent="0.25">
      <c r="A616">
        <v>1.20103</v>
      </c>
      <c r="B616">
        <f t="shared" si="31"/>
        <v>1201.03</v>
      </c>
      <c r="C616">
        <v>-0.71868799999999999</v>
      </c>
      <c r="D616">
        <v>-0.71868799999999999</v>
      </c>
    </row>
    <row r="617" spans="1:4" x14ac:dyDescent="0.25">
      <c r="A617">
        <v>1.20299</v>
      </c>
      <c r="B617">
        <f t="shared" si="31"/>
        <v>1202.99</v>
      </c>
      <c r="C617">
        <v>-0.71740899999999996</v>
      </c>
      <c r="D617">
        <v>-0.71740899999999996</v>
      </c>
    </row>
    <row r="618" spans="1:4" x14ac:dyDescent="0.25">
      <c r="A618">
        <v>1.20495</v>
      </c>
      <c r="B618">
        <f t="shared" si="31"/>
        <v>1204.95</v>
      </c>
      <c r="C618">
        <v>-0.71964799999999995</v>
      </c>
      <c r="D618">
        <v>-0.71964799999999995</v>
      </c>
    </row>
    <row r="619" spans="1:4" x14ac:dyDescent="0.25">
      <c r="A619">
        <v>1.2069099999999999</v>
      </c>
      <c r="B619">
        <f t="shared" si="31"/>
        <v>1206.9099999999999</v>
      </c>
      <c r="C619">
        <v>-0.720113</v>
      </c>
      <c r="D619">
        <v>-0.720113</v>
      </c>
    </row>
    <row r="620" spans="1:4" x14ac:dyDescent="0.25">
      <c r="A620">
        <v>1.20888</v>
      </c>
      <c r="B620">
        <f t="shared" si="31"/>
        <v>1208.8799999999999</v>
      </c>
      <c r="C620">
        <v>-0.71847499999999997</v>
      </c>
      <c r="D620">
        <v>-0.71847499999999997</v>
      </c>
    </row>
    <row r="621" spans="1:4" x14ac:dyDescent="0.25">
      <c r="A621">
        <v>1.2108399999999999</v>
      </c>
      <c r="B621">
        <f t="shared" si="31"/>
        <v>1210.8399999999999</v>
      </c>
      <c r="C621">
        <v>-0.72144600000000003</v>
      </c>
      <c r="D621">
        <v>-0.72144600000000003</v>
      </c>
    </row>
    <row r="622" spans="1:4" x14ac:dyDescent="0.25">
      <c r="A622">
        <v>1.2128000000000001</v>
      </c>
      <c r="B622">
        <f t="shared" si="31"/>
        <v>1212.8000000000002</v>
      </c>
      <c r="C622">
        <v>-0.71474700000000002</v>
      </c>
      <c r="D622">
        <v>-0.71474700000000002</v>
      </c>
    </row>
    <row r="623" spans="1:4" x14ac:dyDescent="0.25">
      <c r="A623">
        <v>1.2147600000000001</v>
      </c>
      <c r="B623">
        <f t="shared" si="31"/>
        <v>1214.76</v>
      </c>
      <c r="C623">
        <v>-0.71483799999999997</v>
      </c>
      <c r="D623">
        <v>-0.71483799999999997</v>
      </c>
    </row>
    <row r="624" spans="1:4" x14ac:dyDescent="0.25">
      <c r="A624">
        <v>1.2167300000000001</v>
      </c>
      <c r="B624">
        <f t="shared" si="31"/>
        <v>1216.73</v>
      </c>
      <c r="C624">
        <v>-0.70782599999999996</v>
      </c>
      <c r="D624">
        <v>-0.70782599999999996</v>
      </c>
    </row>
    <row r="625" spans="1:4" x14ac:dyDescent="0.25">
      <c r="A625">
        <v>1.2186900000000001</v>
      </c>
      <c r="B625">
        <f t="shared" si="31"/>
        <v>1218.69</v>
      </c>
      <c r="C625">
        <v>-0.71172100000000005</v>
      </c>
      <c r="D625">
        <v>-0.71172100000000005</v>
      </c>
    </row>
    <row r="626" spans="1:4" x14ac:dyDescent="0.25">
      <c r="A626">
        <v>1.22065</v>
      </c>
      <c r="B626">
        <f t="shared" si="31"/>
        <v>1220.6500000000001</v>
      </c>
      <c r="C626">
        <v>-0.705901</v>
      </c>
      <c r="D626">
        <v>-0.705901</v>
      </c>
    </row>
    <row r="627" spans="1:4" x14ac:dyDescent="0.25">
      <c r="A627">
        <v>1.22261</v>
      </c>
      <c r="B627">
        <f t="shared" si="31"/>
        <v>1222.6099999999999</v>
      </c>
      <c r="C627">
        <v>-0.71628199999999997</v>
      </c>
      <c r="D627">
        <v>-0.71628199999999997</v>
      </c>
    </row>
    <row r="628" spans="1:4" x14ac:dyDescent="0.25">
      <c r="A628">
        <v>1.22458</v>
      </c>
      <c r="B628">
        <f t="shared" si="31"/>
        <v>1224.58</v>
      </c>
      <c r="C628">
        <v>-0.72111899999999995</v>
      </c>
      <c r="D628">
        <v>-0.72111899999999995</v>
      </c>
    </row>
    <row r="629" spans="1:4" x14ac:dyDescent="0.25">
      <c r="A629">
        <v>1.22654</v>
      </c>
      <c r="B629">
        <f t="shared" si="31"/>
        <v>1226.54</v>
      </c>
      <c r="C629">
        <v>-0.72838400000000003</v>
      </c>
      <c r="D629">
        <v>-0.72838400000000003</v>
      </c>
    </row>
    <row r="630" spans="1:4" x14ac:dyDescent="0.25">
      <c r="A630">
        <v>1.2284999999999999</v>
      </c>
      <c r="B630">
        <f t="shared" si="31"/>
        <v>1228.5</v>
      </c>
      <c r="C630">
        <v>-0.72486200000000001</v>
      </c>
      <c r="D630">
        <v>-0.72486200000000001</v>
      </c>
    </row>
    <row r="631" spans="1:4" x14ac:dyDescent="0.25">
      <c r="A631">
        <v>1.2304600000000001</v>
      </c>
      <c r="B631">
        <f t="shared" si="31"/>
        <v>1230.46</v>
      </c>
      <c r="C631">
        <v>-0.72223499999999996</v>
      </c>
      <c r="D631">
        <v>-0.72223499999999996</v>
      </c>
    </row>
    <row r="632" spans="1:4" x14ac:dyDescent="0.25">
      <c r="A632">
        <v>1.2324299999999999</v>
      </c>
      <c r="B632">
        <f t="shared" si="31"/>
        <v>1232.4299999999998</v>
      </c>
      <c r="C632">
        <v>-0.71836100000000003</v>
      </c>
      <c r="D632">
        <v>-0.71836100000000003</v>
      </c>
    </row>
    <row r="633" spans="1:4" x14ac:dyDescent="0.25">
      <c r="A633">
        <v>1.2343900000000001</v>
      </c>
      <c r="B633">
        <f t="shared" si="31"/>
        <v>1234.3900000000001</v>
      </c>
      <c r="C633">
        <v>-0.72171799999999997</v>
      </c>
      <c r="D633">
        <v>-0.72171799999999997</v>
      </c>
    </row>
    <row r="634" spans="1:4" x14ac:dyDescent="0.25">
      <c r="A634">
        <v>1.2363500000000001</v>
      </c>
      <c r="B634">
        <f t="shared" si="31"/>
        <v>1236.3500000000001</v>
      </c>
      <c r="C634">
        <v>-0.72401599999999999</v>
      </c>
      <c r="D634">
        <v>-0.72401599999999999</v>
      </c>
    </row>
    <row r="635" spans="1:4" x14ac:dyDescent="0.25">
      <c r="A635">
        <v>1.23831</v>
      </c>
      <c r="B635">
        <f t="shared" si="31"/>
        <v>1238.31</v>
      </c>
      <c r="C635">
        <v>-0.716526</v>
      </c>
      <c r="D635">
        <v>-0.716526</v>
      </c>
    </row>
    <row r="636" spans="1:4" x14ac:dyDescent="0.25">
      <c r="A636">
        <v>1.24028</v>
      </c>
      <c r="B636">
        <f t="shared" si="31"/>
        <v>1240.28</v>
      </c>
      <c r="C636">
        <v>-0.71781300000000003</v>
      </c>
      <c r="D636">
        <v>-0.71781300000000003</v>
      </c>
    </row>
    <row r="637" spans="1:4" x14ac:dyDescent="0.25">
      <c r="A637">
        <v>1.24224</v>
      </c>
      <c r="B637">
        <f t="shared" si="31"/>
        <v>1242.24</v>
      </c>
      <c r="C637">
        <v>-0.71583799999999997</v>
      </c>
      <c r="D637">
        <v>-0.71583799999999997</v>
      </c>
    </row>
    <row r="638" spans="1:4" x14ac:dyDescent="0.25">
      <c r="A638">
        <v>1.2442</v>
      </c>
      <c r="B638">
        <f t="shared" si="31"/>
        <v>1244.2</v>
      </c>
      <c r="C638">
        <v>-0.71159499999999998</v>
      </c>
      <c r="D638">
        <v>-0.71159499999999998</v>
      </c>
    </row>
    <row r="639" spans="1:4" x14ac:dyDescent="0.25">
      <c r="A639">
        <v>1.2461599999999999</v>
      </c>
      <c r="B639">
        <f t="shared" si="31"/>
        <v>1246.1599999999999</v>
      </c>
      <c r="C639">
        <v>-0.71218800000000004</v>
      </c>
      <c r="D639">
        <v>-0.71218800000000004</v>
      </c>
    </row>
    <row r="640" spans="1:4" x14ac:dyDescent="0.25">
      <c r="A640">
        <v>1.24813</v>
      </c>
      <c r="B640">
        <f t="shared" si="31"/>
        <v>1248.1299999999999</v>
      </c>
      <c r="C640">
        <v>-0.72743999999999998</v>
      </c>
      <c r="D640">
        <v>-0.72743999999999998</v>
      </c>
    </row>
    <row r="641" spans="1:4" x14ac:dyDescent="0.25">
      <c r="A641">
        <v>1.2500899999999999</v>
      </c>
      <c r="B641">
        <f t="shared" si="31"/>
        <v>1250.0899999999999</v>
      </c>
      <c r="C641">
        <v>-0.77143899999999999</v>
      </c>
      <c r="D641">
        <v>-0.77143899999999999</v>
      </c>
    </row>
    <row r="642" spans="1:4" x14ac:dyDescent="0.25">
      <c r="A642">
        <v>1.2520500000000001</v>
      </c>
      <c r="B642">
        <f t="shared" si="31"/>
        <v>1252.0500000000002</v>
      </c>
      <c r="C642">
        <v>-0.68735000000000002</v>
      </c>
      <c r="D642">
        <v>-0.68735000000000002</v>
      </c>
    </row>
    <row r="643" spans="1:4" x14ac:dyDescent="0.25">
      <c r="A643">
        <v>1.2540100000000001</v>
      </c>
      <c r="B643">
        <f t="shared" si="31"/>
        <v>1254.01</v>
      </c>
      <c r="C643">
        <v>4.3725899999999998E-2</v>
      </c>
      <c r="D643">
        <v>4.3725899999999998E-2</v>
      </c>
    </row>
  </sheetData>
  <pageMargins left="0.7" right="0.7" top="0.75" bottom="0.75" header="0.3" footer="0.3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8-MUMPs95.RS.P2.0deg.500.third.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Cassard, Janet M.</cp:lastModifiedBy>
  <cp:lastPrinted>2012-04-27T18:35:50Z</cp:lastPrinted>
  <dcterms:created xsi:type="dcterms:W3CDTF">2012-04-13T15:55:49Z</dcterms:created>
  <dcterms:modified xsi:type="dcterms:W3CDTF">2012-04-30T12:51:17Z</dcterms:modified>
</cp:coreProperties>
</file>